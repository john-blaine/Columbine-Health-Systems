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865" yWindow="-75" windowWidth="3600" windowHeight="10230"/>
  </bookViews>
  <sheets>
    <sheet name="Commands" sheetId="25" r:id="rId1"/>
    <sheet name="Sheet1" sheetId="24" state="hidden" r:id="rId2"/>
  </sheets>
  <externalReferences>
    <externalReference r:id="rId3"/>
  </externalReferences>
  <definedNames>
    <definedName name="Column2StartAA" localSheetId="0">'[1]Apr 2017 Stewart, M PT V 2'!$AA$14</definedName>
    <definedName name="Column2StartAA">Sheet1!$AA$12</definedName>
    <definedName name="Column2StartAB" localSheetId="0">'[1]Apr 2017 Stewart, M PT V 2'!$AB$14</definedName>
    <definedName name="Column2StartAB">Sheet1!$AB$12</definedName>
    <definedName name="Column2StartAC" localSheetId="0">'[1]Apr 2017 Stewart, M PT V 2'!$AC$14</definedName>
    <definedName name="Column2StartAC">Sheet1!$AC$12</definedName>
    <definedName name="Column2StartAD" localSheetId="0">'[1]Apr 2017 Stewart, M PT V 2'!$AD$14</definedName>
    <definedName name="Column2StartAD">Sheet1!$AD$12</definedName>
    <definedName name="Column2StartAE" localSheetId="0">'[1]Apr 2017 Stewart, M PT V 2'!$AE$14</definedName>
    <definedName name="Column2StartAE">Sheet1!$AE$12</definedName>
    <definedName name="Column2StartAF" localSheetId="0">'[1]Apr 2017 Stewart, M PT V 2'!$AF$14</definedName>
    <definedName name="Column2StartAF">Sheet1!$AF$12</definedName>
    <definedName name="Column2StartB" localSheetId="0">'[1]Apr 2017 Stewart, M PT V 2'!$B$14</definedName>
    <definedName name="Column2StartB">Sheet1!$B$12</definedName>
    <definedName name="Column2StartC" localSheetId="0">'[1]Apr 2017 Stewart, M PT V 2'!$C$14</definedName>
    <definedName name="Column2StartC">Sheet1!$C$12</definedName>
    <definedName name="Column2StartD" localSheetId="0">'[1]Apr 2017 Stewart, M PT V 2'!$D$14</definedName>
    <definedName name="Column2StartD">Sheet1!$D$12</definedName>
    <definedName name="Column2StartE" localSheetId="0">'[1]Apr 2017 Stewart, M PT V 2'!$E$14</definedName>
    <definedName name="Column2StartE">Sheet1!$E$12</definedName>
    <definedName name="Column2StartF" localSheetId="0">'[1]Apr 2017 Stewart, M PT V 2'!$F$14</definedName>
    <definedName name="Column2StartF">Sheet1!$F$12</definedName>
    <definedName name="Column2StartG" localSheetId="0">'[1]Apr 2017 Stewart, M PT V 2'!$G$14</definedName>
    <definedName name="Column2StartG">Sheet1!$G$12</definedName>
    <definedName name="Column2StartH" localSheetId="0">'[1]Apr 2017 Stewart, M PT V 2'!$H$14</definedName>
    <definedName name="Column2StartH">Sheet1!$H$12</definedName>
    <definedName name="Column2StartI" localSheetId="0">'[1]Apr 2017 Stewart, M PT V 2'!$I$14</definedName>
    <definedName name="Column2StartI">Sheet1!$I$12</definedName>
    <definedName name="Column2StartJ" localSheetId="0">'[1]Apr 2017 Stewart, M PT V 2'!$J$14</definedName>
    <definedName name="Column2StartJ">Sheet1!$J$12</definedName>
    <definedName name="Column2StartK" localSheetId="0">'[1]Apr 2017 Stewart, M PT V 2'!$K$14</definedName>
    <definedName name="Column2StartK">Sheet1!$K$12</definedName>
    <definedName name="Column2StartL" localSheetId="0">'[1]Apr 2017 Stewart, M PT V 2'!$L$14</definedName>
    <definedName name="Column2StartL">Sheet1!$L$12</definedName>
    <definedName name="Column2StartM" localSheetId="0">'[1]Apr 2017 Stewart, M PT V 2'!$M$14</definedName>
    <definedName name="Column2StartM">Sheet1!$M$12</definedName>
    <definedName name="Column2StartN" localSheetId="0">'[1]Apr 2017 Stewart, M PT V 2'!$N$14</definedName>
    <definedName name="Column2StartN">Sheet1!$N$12</definedName>
    <definedName name="Column2StartO" localSheetId="0">'[1]Apr 2017 Stewart, M PT V 2'!$O$14</definedName>
    <definedName name="Column2StartO">Sheet1!$O$12</definedName>
    <definedName name="Column2StartP" localSheetId="0">'[1]Apr 2017 Stewart, M PT V 2'!$P$14</definedName>
    <definedName name="Column2StartP">Sheet1!$P$12</definedName>
    <definedName name="Column2StartQ" localSheetId="0">'[1]Apr 2017 Stewart, M PT V 2'!$Q$14</definedName>
    <definedName name="Column2StartQ">Sheet1!$Q$12</definedName>
    <definedName name="Column2StartR" localSheetId="0">'[1]Apr 2017 Stewart, M PT V 2'!$R$14</definedName>
    <definedName name="Column2StartR">Sheet1!$R$12</definedName>
    <definedName name="Column2StartS" localSheetId="0">'[1]Apr 2017 Stewart, M PT V 2'!$S$14</definedName>
    <definedName name="Column2StartS">Sheet1!$S$12</definedName>
    <definedName name="Column2StartT" localSheetId="0">'[1]Apr 2017 Stewart, M PT V 2'!$T$14</definedName>
    <definedName name="Column2StartT">Sheet1!$T$12</definedName>
    <definedName name="Column2StartU" localSheetId="0">'[1]Apr 2017 Stewart, M PT V 2'!$U$14</definedName>
    <definedName name="Column2StartU">Sheet1!$U$12</definedName>
    <definedName name="Column2StartV" localSheetId="0">'[1]Apr 2017 Stewart, M PT V 2'!$V$14</definedName>
    <definedName name="Column2StartV">Sheet1!$V$12</definedName>
    <definedName name="Column2StartW" localSheetId="0">'[1]Apr 2017 Stewart, M PT V 2'!$W$14</definedName>
    <definedName name="Column2StartW">Sheet1!$W$12</definedName>
    <definedName name="Column2StartX" localSheetId="0">'[1]Apr 2017 Stewart, M PT V 2'!$X$14</definedName>
    <definedName name="Column2StartX">Sheet1!$X$12</definedName>
    <definedName name="Column2StartY" localSheetId="0">'[1]Apr 2017 Stewart, M PT V 2'!$Y$14</definedName>
    <definedName name="Column2StartY">Sheet1!$Y$12</definedName>
    <definedName name="Column2StartZ" localSheetId="0">'[1]Apr 2017 Stewart, M PT V 2'!$Z$14</definedName>
    <definedName name="Column2StartZ">Sheet1!$Z$12</definedName>
    <definedName name="Column3EndAA" localSheetId="0">'[1]Apr 2017 Stewart, M PT V 2'!$AA$16</definedName>
    <definedName name="Column3EndAA">Sheet1!$AA$14</definedName>
    <definedName name="Column3EndAB" localSheetId="0">'[1]Apr 2017 Stewart, M PT V 2'!$AB$16</definedName>
    <definedName name="Column3EndAB">Sheet1!$AB$14</definedName>
    <definedName name="Column3EndAC" localSheetId="0">'[1]Apr 2017 Stewart, M PT V 2'!$AC$16</definedName>
    <definedName name="Column3EndAC">Sheet1!$AC$14</definedName>
    <definedName name="Column3EndAD" localSheetId="0">'[1]Apr 2017 Stewart, M PT V 2'!$AD$16</definedName>
    <definedName name="Column3EndAD">Sheet1!$AD$14</definedName>
    <definedName name="Column3EndAE" localSheetId="0">'[1]Apr 2017 Stewart, M PT V 2'!$AE$16</definedName>
    <definedName name="Column3EndAE">Sheet1!$AE$14</definedName>
    <definedName name="Column3EndAF" localSheetId="0">'[1]Apr 2017 Stewart, M PT V 2'!$AF$16</definedName>
    <definedName name="Column3EndAF">Sheet1!$AF$14</definedName>
    <definedName name="Column3EndB" localSheetId="0">'[1]Apr 2017 Stewart, M PT V 2'!$B$16</definedName>
    <definedName name="Column3EndB">Sheet1!$B$14</definedName>
    <definedName name="Column3EndC" localSheetId="0">'[1]Apr 2017 Stewart, M PT V 2'!$C$16</definedName>
    <definedName name="Column3EndC">Sheet1!$C$14</definedName>
    <definedName name="Column3EndD" localSheetId="0">'[1]Apr 2017 Stewart, M PT V 2'!$D$16</definedName>
    <definedName name="Column3EndD">Sheet1!$D$14</definedName>
    <definedName name="Column3EndE" localSheetId="0">'[1]Apr 2017 Stewart, M PT V 2'!$E$16</definedName>
    <definedName name="Column3EndE">Sheet1!$E$14</definedName>
    <definedName name="Column3EndF" localSheetId="0">'[1]Apr 2017 Stewart, M PT V 2'!$F$16</definedName>
    <definedName name="Column3EndF">Sheet1!$F$14</definedName>
    <definedName name="Column3EndG" localSheetId="0">'[1]Apr 2017 Stewart, M PT V 2'!$G$16</definedName>
    <definedName name="Column3EndG">Sheet1!$G$14</definedName>
    <definedName name="Column3EndH" localSheetId="0">'[1]Apr 2017 Stewart, M PT V 2'!$H$16</definedName>
    <definedName name="Column3EndH">Sheet1!$H$14</definedName>
    <definedName name="Column3EndI" localSheetId="0">'[1]Apr 2017 Stewart, M PT V 2'!$I$16</definedName>
    <definedName name="Column3EndI">Sheet1!$I$14</definedName>
    <definedName name="Column3EndJ" localSheetId="0">'[1]Apr 2017 Stewart, M PT V 2'!$J$16</definedName>
    <definedName name="Column3EndJ">Sheet1!$J$14</definedName>
    <definedName name="Column3EndK" localSheetId="0">'[1]Apr 2017 Stewart, M PT V 2'!$K$16</definedName>
    <definedName name="Column3EndK">Sheet1!$K$14</definedName>
    <definedName name="Column3EndL" localSheetId="0">'[1]Apr 2017 Stewart, M PT V 2'!$L$16</definedName>
    <definedName name="Column3EndL">Sheet1!$L$14</definedName>
    <definedName name="Column3EndM" localSheetId="0">'[1]Apr 2017 Stewart, M PT V 2'!$M$16</definedName>
    <definedName name="Column3EndM">Sheet1!$M$14</definedName>
    <definedName name="Column3EndN" localSheetId="0">'[1]Apr 2017 Stewart, M PT V 2'!$N$16</definedName>
    <definedName name="Column3EndN">Sheet1!$N$14</definedName>
    <definedName name="Column3EndO" localSheetId="0">'[1]Apr 2017 Stewart, M PT V 2'!$O$16</definedName>
    <definedName name="Column3EndO">Sheet1!$O$14</definedName>
    <definedName name="Column3EndP" localSheetId="0">'[1]Apr 2017 Stewart, M PT V 2'!$P$16</definedName>
    <definedName name="Column3EndP">Sheet1!$P$14</definedName>
    <definedName name="Column3EndQ" localSheetId="0">'[1]Apr 2017 Stewart, M PT V 2'!$Q$16</definedName>
    <definedName name="Column3EndQ">Sheet1!$Q$14</definedName>
    <definedName name="Column3EndR" localSheetId="0">'[1]Apr 2017 Stewart, M PT V 2'!$R$16</definedName>
    <definedName name="Column3EndR">Sheet1!$R$14</definedName>
    <definedName name="Column3EndS" localSheetId="0">'[1]Apr 2017 Stewart, M PT V 2'!$S$16</definedName>
    <definedName name="Column3EndS">Sheet1!$S$14</definedName>
    <definedName name="Column3EndT" localSheetId="0">'[1]Apr 2017 Stewart, M PT V 2'!$T$16</definedName>
    <definedName name="Column3EndT">Sheet1!$T$14</definedName>
    <definedName name="Column3EndU" localSheetId="0">'[1]Apr 2017 Stewart, M PT V 2'!$U$16</definedName>
    <definedName name="Column3EndU">Sheet1!$U$14</definedName>
    <definedName name="Column3EndV" localSheetId="0">'[1]Apr 2017 Stewart, M PT V 2'!$V$16</definedName>
    <definedName name="Column3EndV">Sheet1!$V$14</definedName>
    <definedName name="Column3EndW" localSheetId="0">'[1]Apr 2017 Stewart, M PT V 2'!$W$16</definedName>
    <definedName name="Column3EndW">Sheet1!$W$14</definedName>
    <definedName name="Column3EndX" localSheetId="0">'[1]Apr 2017 Stewart, M PT V 2'!$X$16</definedName>
    <definedName name="Column3EndX">Sheet1!$X$14</definedName>
    <definedName name="Column3EndY" localSheetId="0">'[1]Apr 2017 Stewart, M PT V 2'!$Y$16</definedName>
    <definedName name="Column3EndY">Sheet1!$Y$14</definedName>
    <definedName name="Column3EndZ" localSheetId="0">'[1]Apr 2017 Stewart, M PT V 2'!$Z$16</definedName>
    <definedName name="Column3EndZ">Sheet1!$Z$14</definedName>
    <definedName name="Column3StartAA" localSheetId="0">'[1]Apr 2017 Stewart, M PT V 2'!$AA$18</definedName>
    <definedName name="Column3StartAA">Sheet1!$AA$16</definedName>
    <definedName name="Column3StartAB" localSheetId="0">'[1]Apr 2017 Stewart, M PT V 2'!$AB$18</definedName>
    <definedName name="Column3StartAB">Sheet1!$AB$16</definedName>
    <definedName name="Column3StartAC" localSheetId="0">'[1]Apr 2017 Stewart, M PT V 2'!$AC$18</definedName>
    <definedName name="Column3StartAC">Sheet1!$AC$16</definedName>
    <definedName name="Column3StartAD" localSheetId="0">'[1]Apr 2017 Stewart, M PT V 2'!$AD$18</definedName>
    <definedName name="Column3StartAD">Sheet1!$AD$16</definedName>
    <definedName name="Column3StartAE" localSheetId="0">'[1]Apr 2017 Stewart, M PT V 2'!$AE$18</definedName>
    <definedName name="Column3StartAE">Sheet1!$AE$16</definedName>
    <definedName name="Column3StartAF" localSheetId="0">'[1]Apr 2017 Stewart, M PT V 2'!$AF$18</definedName>
    <definedName name="Column3StartAF">Sheet1!$AF$16</definedName>
    <definedName name="Column3StartB" localSheetId="0">'[1]Apr 2017 Stewart, M PT V 2'!$B$18</definedName>
    <definedName name="Column3StartB">Sheet1!$B$16</definedName>
    <definedName name="Column3StartC" localSheetId="0">'[1]Apr 2017 Stewart, M PT V 2'!$C$18</definedName>
    <definedName name="Column3StartC">Sheet1!$C$16</definedName>
    <definedName name="Column3StartD" localSheetId="0">'[1]Apr 2017 Stewart, M PT V 2'!$D$18</definedName>
    <definedName name="Column3StartD">Sheet1!$D$16</definedName>
    <definedName name="Column3StartE" localSheetId="0">'[1]Apr 2017 Stewart, M PT V 2'!$E$18</definedName>
    <definedName name="Column3StartE">Sheet1!$E$16</definedName>
    <definedName name="Column3StartF" localSheetId="0">'[1]Apr 2017 Stewart, M PT V 2'!$F$18</definedName>
    <definedName name="Column3StartF">Sheet1!$F$16</definedName>
    <definedName name="Column3StartG" localSheetId="0">'[1]Apr 2017 Stewart, M PT V 2'!$G$18</definedName>
    <definedName name="Column3StartG">Sheet1!$G$16</definedName>
    <definedName name="Column3StartH" localSheetId="0">'[1]Apr 2017 Stewart, M PT V 2'!$H$18</definedName>
    <definedName name="Column3StartH">Sheet1!$H$16</definedName>
    <definedName name="Column3StartI" localSheetId="0">'[1]Apr 2017 Stewart, M PT V 2'!$I$18</definedName>
    <definedName name="Column3StartI">Sheet1!$I$16</definedName>
    <definedName name="Column3StartJ" localSheetId="0">'[1]Apr 2017 Stewart, M PT V 2'!$J$18</definedName>
    <definedName name="Column3StartJ">Sheet1!$J$16</definedName>
    <definedName name="Column3StartK" localSheetId="0">'[1]Apr 2017 Stewart, M PT V 2'!$K$18</definedName>
    <definedName name="Column3StartK">Sheet1!$K$16</definedName>
    <definedName name="Column3StartL" localSheetId="0">'[1]Apr 2017 Stewart, M PT V 2'!$L$18</definedName>
    <definedName name="Column3StartL">Sheet1!$L$16</definedName>
    <definedName name="Column3StartM" localSheetId="0">'[1]Apr 2017 Stewart, M PT V 2'!$M$18</definedName>
    <definedName name="Column3StartM">Sheet1!$M$16</definedName>
    <definedName name="Column3StartN" localSheetId="0">'[1]Apr 2017 Stewart, M PT V 2'!$N$18</definedName>
    <definedName name="Column3StartN">Sheet1!$N$16</definedName>
    <definedName name="Column3StartO" localSheetId="0">'[1]Apr 2017 Stewart, M PT V 2'!$O$18</definedName>
    <definedName name="Column3StartO">Sheet1!$O$16</definedName>
    <definedName name="Column3StartP" localSheetId="0">'[1]Apr 2017 Stewart, M PT V 2'!$P$18</definedName>
    <definedName name="Column3StartP">Sheet1!$P$16</definedName>
    <definedName name="Column3StartQ" localSheetId="0">'[1]Apr 2017 Stewart, M PT V 2'!$Q$18</definedName>
    <definedName name="Column3StartQ">Sheet1!$Q$16</definedName>
    <definedName name="Column3StartR" localSheetId="0">'[1]Apr 2017 Stewart, M PT V 2'!$R$18</definedName>
    <definedName name="Column3StartR">Sheet1!$R$16</definedName>
    <definedName name="Column3StartS" localSheetId="0">'[1]Apr 2017 Stewart, M PT V 2'!$S$18</definedName>
    <definedName name="Column3StartS">Sheet1!$S$16</definedName>
    <definedName name="Column3StartT" localSheetId="0">'[1]Apr 2017 Stewart, M PT V 2'!$T$18</definedName>
    <definedName name="Column3StartT">Sheet1!$T$16</definedName>
    <definedName name="Column3StartU" localSheetId="0">'[1]Apr 2017 Stewart, M PT V 2'!$U$18</definedName>
    <definedName name="Column3StartU">Sheet1!$U$16</definedName>
    <definedName name="Column3StartV" localSheetId="0">'[1]Apr 2017 Stewart, M PT V 2'!$V$18</definedName>
    <definedName name="Column3StartV">Sheet1!$V$16</definedName>
    <definedName name="Column3StartW" localSheetId="0">'[1]Apr 2017 Stewart, M PT V 2'!$W$18</definedName>
    <definedName name="Column3StartW">Sheet1!$W$16</definedName>
    <definedName name="Column3StartX" localSheetId="0">'[1]Apr 2017 Stewart, M PT V 2'!$X$18</definedName>
    <definedName name="Column3StartX">Sheet1!$X$16</definedName>
    <definedName name="Column3StartY" localSheetId="0">'[1]Apr 2017 Stewart, M PT V 2'!$Y$18</definedName>
    <definedName name="Column3StartY">Sheet1!$Y$16</definedName>
    <definedName name="Column3StartZ" localSheetId="0">'[1]Apr 2017 Stewart, M PT V 2'!$Z$18</definedName>
    <definedName name="Column3StartZ">Sheet1!$Z$16</definedName>
    <definedName name="Column4EndAA">Sheet1!$AA$13</definedName>
    <definedName name="Column4EndAB">Sheet1!$AB$13</definedName>
    <definedName name="Column4EndAC">Sheet1!$AC$13</definedName>
    <definedName name="Column4EndAD">Sheet1!$AD$13</definedName>
    <definedName name="Column4EndAE">Sheet1!$AE$13</definedName>
    <definedName name="Column4EndAF">Sheet1!$AF$13</definedName>
    <definedName name="Column4EndB">Sheet1!$B$13</definedName>
    <definedName name="Column4EndC">Sheet1!$C$13</definedName>
    <definedName name="Column4EndD">Sheet1!$D$13</definedName>
    <definedName name="Column4EndE">Sheet1!$E$13</definedName>
    <definedName name="Column4EndF">Sheet1!$F$13</definedName>
    <definedName name="Column4EndG">Sheet1!$G$13</definedName>
    <definedName name="Column4EndH">Sheet1!$H$13</definedName>
    <definedName name="Column4EndI">Sheet1!$I$13</definedName>
    <definedName name="Column4EndJ">Sheet1!$J$13</definedName>
    <definedName name="Column4EndK">Sheet1!$K$13</definedName>
    <definedName name="Column4EndL">Sheet1!$L$13</definedName>
    <definedName name="Column4EndM">Sheet1!$M$13</definedName>
    <definedName name="Column4EndN">Sheet1!$N$13</definedName>
    <definedName name="Column4EndO">Sheet1!$O$13</definedName>
    <definedName name="Column4EndP">Sheet1!$P$13</definedName>
    <definedName name="Column4EndQ">Sheet1!$Q$13</definedName>
    <definedName name="Column4EndR">Sheet1!$R$13</definedName>
    <definedName name="Column4EndS">Sheet1!$S$13</definedName>
    <definedName name="Column4EndT">Sheet1!$T$13</definedName>
    <definedName name="Column4EndU">Sheet1!$U$13</definedName>
    <definedName name="Column4EndV">Sheet1!$V$13</definedName>
    <definedName name="Column4EndW">Sheet1!$W$13</definedName>
    <definedName name="Column4EndX">Sheet1!$X$13</definedName>
    <definedName name="Column4EndY">Sheet1!$Y$13</definedName>
    <definedName name="Column4EndZ">Sheet1!$Z$13</definedName>
    <definedName name="ColumnEndAA" localSheetId="0">'[1]Apr 2017 Stewart, M PT V 2'!$AA$27</definedName>
    <definedName name="ColumnEndAA">Sheet1!$AA$28</definedName>
    <definedName name="ColumnEndAB" localSheetId="0">'[1]Apr 2017 Stewart, M PT V 2'!$AB$27</definedName>
    <definedName name="ColumnEndAB">Sheet1!$AB$28</definedName>
    <definedName name="ColumnEndAC" localSheetId="0">'[1]Apr 2017 Stewart, M PT V 2'!$AC$27</definedName>
    <definedName name="ColumnEndAC">Sheet1!$AC$28</definedName>
    <definedName name="ColumnEndAD" localSheetId="0">'[1]Apr 2017 Stewart, M PT V 2'!$AD$27</definedName>
    <definedName name="ColumnEndAD">Sheet1!$AD$28</definedName>
    <definedName name="ColumnEndAE" localSheetId="0">'[1]Apr 2017 Stewart, M PT V 2'!$AE$27</definedName>
    <definedName name="ColumnEndAE">Sheet1!$AE$28</definedName>
    <definedName name="ColumnEndAF" localSheetId="0">'[1]Apr 2017 Stewart, M PT V 2'!$AF$27</definedName>
    <definedName name="ColumnEndAF">Sheet1!$AF$28</definedName>
    <definedName name="ColumnEndB" localSheetId="0">'[1]Apr 2017 Stewart, M PT V 2'!$B$27</definedName>
    <definedName name="ColumnEndB">Sheet1!$B$28</definedName>
    <definedName name="ColumnEndC" localSheetId="0">'[1]Apr 2017 Stewart, M PT V 2'!$C$27</definedName>
    <definedName name="ColumnEndC">Sheet1!$C$28</definedName>
    <definedName name="ColumnEndD" localSheetId="0">'[1]Apr 2017 Stewart, M PT V 2'!$D$27</definedName>
    <definedName name="ColumnEndD">Sheet1!$D$28</definedName>
    <definedName name="ColumnEndE" localSheetId="0">'[1]Apr 2017 Stewart, M PT V 2'!$E$27</definedName>
    <definedName name="ColumnEndE">Sheet1!$E$28</definedName>
    <definedName name="ColumnEndF" localSheetId="0">'[1]Apr 2017 Stewart, M PT V 2'!$F$27</definedName>
    <definedName name="ColumnEndF">Sheet1!$F$28</definedName>
    <definedName name="ColumnEndG" localSheetId="0">'[1]Apr 2017 Stewart, M PT V 2'!$G$27</definedName>
    <definedName name="ColumnEndG">Sheet1!$G$28</definedName>
    <definedName name="ColumnEndH" localSheetId="0">'[1]Apr 2017 Stewart, M PT V 2'!$H$27</definedName>
    <definedName name="ColumnEndH">Sheet1!$H$28</definedName>
    <definedName name="ColumnEndI" localSheetId="0">'[1]Apr 2017 Stewart, M PT V 2'!$I$27</definedName>
    <definedName name="ColumnEndI">Sheet1!$I$28</definedName>
    <definedName name="ColumnEndJ" localSheetId="0">'[1]Apr 2017 Stewart, M PT V 2'!$J$27</definedName>
    <definedName name="ColumnEndJ">Sheet1!$J$28</definedName>
    <definedName name="ColumnEndK" localSheetId="0">'[1]Apr 2017 Stewart, M PT V 2'!$K$27</definedName>
    <definedName name="ColumnEndK">Sheet1!$K$28</definedName>
    <definedName name="ColumnEndL" localSheetId="0">'[1]Apr 2017 Stewart, M PT V 2'!$L$27</definedName>
    <definedName name="ColumnEndL">Sheet1!$L$28</definedName>
    <definedName name="ColumnEndM" localSheetId="0">'[1]Apr 2017 Stewart, M PT V 2'!$M$27</definedName>
    <definedName name="ColumnEndM">Sheet1!$M$28</definedName>
    <definedName name="ColumnEndN" localSheetId="0">'[1]Apr 2017 Stewart, M PT V 2'!$N$27</definedName>
    <definedName name="ColumnEndN">Sheet1!$N$28</definedName>
    <definedName name="ColumnEndO" localSheetId="0">'[1]Apr 2017 Stewart, M PT V 2'!$O$27</definedName>
    <definedName name="ColumnEndO">Sheet1!$O$28</definedName>
    <definedName name="ColumnEndP" localSheetId="0">'[1]Apr 2017 Stewart, M PT V 2'!$P$27</definedName>
    <definedName name="ColumnEndP">Sheet1!$P$28</definedName>
    <definedName name="ColumnEndQ" localSheetId="0">'[1]Apr 2017 Stewart, M PT V 2'!$Q$27</definedName>
    <definedName name="ColumnEndQ">Sheet1!$Q$28</definedName>
    <definedName name="ColumnEndR" localSheetId="0">'[1]Apr 2017 Stewart, M PT V 2'!$R$27</definedName>
    <definedName name="ColumnEndR">Sheet1!$R$28</definedName>
    <definedName name="ColumnEndS" localSheetId="0">'[1]Apr 2017 Stewart, M PT V 2'!$S$27</definedName>
    <definedName name="ColumnEndS">Sheet1!$S$28</definedName>
    <definedName name="ColumnEndT" localSheetId="0">'[1]Apr 2017 Stewart, M PT V 2'!$T$27</definedName>
    <definedName name="ColumnEndT">Sheet1!$T$28</definedName>
    <definedName name="ColumnEndU" localSheetId="0">'[1]Apr 2017 Stewart, M PT V 2'!$U$27</definedName>
    <definedName name="ColumnEndU">Sheet1!$U$28</definedName>
    <definedName name="ColumnEndV" localSheetId="0">'[1]Apr 2017 Stewart, M PT V 2'!$V$27</definedName>
    <definedName name="ColumnEndV">Sheet1!$V$28</definedName>
    <definedName name="ColumnEndW" localSheetId="0">'[1]Apr 2017 Stewart, M PT V 2'!$W$27</definedName>
    <definedName name="ColumnEndW">Sheet1!$W$28</definedName>
    <definedName name="ColumnEndX" localSheetId="0">'[1]Apr 2017 Stewart, M PT V 2'!$X$27</definedName>
    <definedName name="ColumnEndX">Sheet1!$X$28</definedName>
    <definedName name="ColumnEndY" localSheetId="0">'[1]Apr 2017 Stewart, M PT V 2'!$Y$27</definedName>
    <definedName name="ColumnEndY">Sheet1!$Y$28</definedName>
    <definedName name="ColumnEndZ" localSheetId="0">'[1]Apr 2017 Stewart, M PT V 2'!$Z$27</definedName>
    <definedName name="ColumnEndZ">Sheet1!$Z$28</definedName>
    <definedName name="ColumnStartAA" localSheetId="0">'[1]Apr 2017 Stewart, M PT V 2'!$AA$9</definedName>
    <definedName name="ColumnStartAA">Sheet1!$AA$8</definedName>
    <definedName name="ColumnStartAB" localSheetId="0">'[1]Apr 2017 Stewart, M PT V 2'!$AB$9</definedName>
    <definedName name="ColumnStartAB">Sheet1!$AB$8</definedName>
    <definedName name="ColumnStartAC" localSheetId="0">'[1]Apr 2017 Stewart, M PT V 2'!$AC$9</definedName>
    <definedName name="ColumnStartAC">Sheet1!$AC$8</definedName>
    <definedName name="ColumnStartAD" localSheetId="0">'[1]Apr 2017 Stewart, M PT V 2'!$AD$9</definedName>
    <definedName name="ColumnStartAD">Sheet1!$AD$8</definedName>
    <definedName name="ColumnStartAE" localSheetId="0">'[1]Apr 2017 Stewart, M PT V 2'!$AE$9</definedName>
    <definedName name="ColumnStartAE">Sheet1!$AE$8</definedName>
    <definedName name="ColumnStartAF" localSheetId="0">'[1]Apr 2017 Stewart, M PT V 2'!$AF$9</definedName>
    <definedName name="ColumnStartAF">Sheet1!$AF$8</definedName>
    <definedName name="ColumnStartB" localSheetId="0">'[1]Apr 2017 Stewart, M PT V 2'!$B$9</definedName>
    <definedName name="ColumnStartB">Sheet1!$B$8</definedName>
    <definedName name="ColumnStartC" localSheetId="0">'[1]Apr 2017 Stewart, M PT V 2'!$C$9</definedName>
    <definedName name="ColumnStartC">Sheet1!$C$8</definedName>
    <definedName name="ColumnStartD" localSheetId="0">'[1]Apr 2017 Stewart, M PT V 2'!$D$9</definedName>
    <definedName name="ColumnStartD">Sheet1!$D$8</definedName>
    <definedName name="ColumnStartE" localSheetId="0">'[1]Apr 2017 Stewart, M PT V 2'!$E$9</definedName>
    <definedName name="ColumnStartE">Sheet1!$E$8</definedName>
    <definedName name="ColumnStartF" localSheetId="0">'[1]Apr 2017 Stewart, M PT V 2'!$F$9</definedName>
    <definedName name="ColumnStartF">Sheet1!$F$8</definedName>
    <definedName name="ColumnStartG" localSheetId="0">'[1]Apr 2017 Stewart, M PT V 2'!$G$9</definedName>
    <definedName name="ColumnStartG">Sheet1!$G$8</definedName>
    <definedName name="ColumnStartH" localSheetId="0">'[1]Apr 2017 Stewart, M PT V 2'!$H$9</definedName>
    <definedName name="ColumnStartH">Sheet1!$H$8</definedName>
    <definedName name="ColumnStartI" localSheetId="0">'[1]Apr 2017 Stewart, M PT V 2'!$I$9</definedName>
    <definedName name="ColumnStartI">Sheet1!$I$8</definedName>
    <definedName name="ColumnStartJ" localSheetId="0">'[1]Apr 2017 Stewart, M PT V 2'!$J$9</definedName>
    <definedName name="ColumnStartJ">Sheet1!$J$8</definedName>
    <definedName name="ColumnStartK" localSheetId="0">'[1]Apr 2017 Stewart, M PT V 2'!$K$9</definedName>
    <definedName name="ColumnStartK">Sheet1!$K$8</definedName>
    <definedName name="ColumnStartL" localSheetId="0">'[1]Apr 2017 Stewart, M PT V 2'!$L$9</definedName>
    <definedName name="ColumnStartL">Sheet1!$L$8</definedName>
    <definedName name="ColumnStartM" localSheetId="0">'[1]Apr 2017 Stewart, M PT V 2'!$M$9</definedName>
    <definedName name="ColumnStartM">Sheet1!$M$8</definedName>
    <definedName name="ColumnStartN" localSheetId="0">'[1]Apr 2017 Stewart, M PT V 2'!$N$9</definedName>
    <definedName name="ColumnStartN">Sheet1!$N$8</definedName>
    <definedName name="ColumnStartO" localSheetId="0">'[1]Apr 2017 Stewart, M PT V 2'!$O$9</definedName>
    <definedName name="ColumnStartO">Sheet1!$O$8</definedName>
    <definedName name="ColumnStartP" localSheetId="0">'[1]Apr 2017 Stewart, M PT V 2'!$P$9</definedName>
    <definedName name="ColumnStartP">Sheet1!$P$8</definedName>
    <definedName name="ColumnStartQ" localSheetId="0">'[1]Apr 2017 Stewart, M PT V 2'!$Q$9</definedName>
    <definedName name="ColumnStartQ">Sheet1!$Q$8</definedName>
    <definedName name="ColumnStartR" localSheetId="0">'[1]Apr 2017 Stewart, M PT V 2'!$R$9</definedName>
    <definedName name="ColumnStartR">Sheet1!$R$8</definedName>
    <definedName name="ColumnStartS" localSheetId="0">'[1]Apr 2017 Stewart, M PT V 2'!$S$9</definedName>
    <definedName name="ColumnStartS">Sheet1!$S$8</definedName>
    <definedName name="ColumnStartT" localSheetId="0">'[1]Apr 2017 Stewart, M PT V 2'!$T$9</definedName>
    <definedName name="ColumnStartT">Sheet1!$T$8</definedName>
    <definedName name="ColumnStartU" localSheetId="0">'[1]Apr 2017 Stewart, M PT V 2'!$U$9</definedName>
    <definedName name="ColumnStartU">Sheet1!$U$8</definedName>
    <definedName name="ColumnStartV" localSheetId="0">'[1]Apr 2017 Stewart, M PT V 2'!$V$9</definedName>
    <definedName name="ColumnStartV">Sheet1!$V$8</definedName>
    <definedName name="ColumnStartW" localSheetId="0">'[1]Apr 2017 Stewart, M PT V 2'!$W$9</definedName>
    <definedName name="ColumnStartW">Sheet1!$W$8</definedName>
    <definedName name="ColumnStartX" localSheetId="0">'[1]Apr 2017 Stewart, M PT V 2'!$X$9</definedName>
    <definedName name="ColumnStartX">Sheet1!$X$8</definedName>
    <definedName name="ColumnStartY" localSheetId="0">'[1]Apr 2017 Stewart, M PT V 2'!$Y$9</definedName>
    <definedName name="ColumnStartY">Sheet1!$Y$8</definedName>
    <definedName name="ColumnStartZ" localSheetId="0">'[1]Apr 2017 Stewart, M PT V 2'!$Z$9</definedName>
    <definedName name="ColumnStartZ">Sheet1!$Z$8</definedName>
    <definedName name="CurrentMonthVisits">Sheet1!$AG$34</definedName>
    <definedName name="Initials1" localSheetId="0">'[1]Apr 2017 Stewart, M PT V 2'!$L$35</definedName>
    <definedName name="Initials1">Sheet1!$L$36</definedName>
    <definedName name="Initials10" localSheetId="0">'[1]Apr 2017 Stewart, M PT V 2'!$AB$36</definedName>
    <definedName name="Initials10">Sheet1!$AB$37</definedName>
    <definedName name="Initials11" localSheetId="0">'[1]Apr 2017 Stewart, M PT V 2'!$AB$37</definedName>
    <definedName name="Initials11">Sheet1!$AB$38</definedName>
    <definedName name="Initials12" localSheetId="0">'[1]Apr 2017 Stewart, M PT V 2'!$AB$38</definedName>
    <definedName name="Initials12">Sheet1!$AB$39</definedName>
    <definedName name="Initials13" localSheetId="0">'[1]Apr 2017 Stewart, M PT V 2'!$AB$39</definedName>
    <definedName name="Initials13">Sheet1!$AB$40</definedName>
    <definedName name="Initials14" localSheetId="0">'[1]Apr 2017 Stewart, M PT V 2'!$AB$40</definedName>
    <definedName name="Initials14">Sheet1!$AB$41</definedName>
    <definedName name="Initials15" localSheetId="0">'[1]Apr 2017 Stewart, M PT V 2'!$AB$41</definedName>
    <definedName name="Initials15">Sheet1!$AB$42</definedName>
    <definedName name="Initials16" localSheetId="0">'[1]Apr 2017 Stewart, M PT V 2'!$AB$42</definedName>
    <definedName name="Initials16">Sheet1!$AB$43</definedName>
    <definedName name="Initials2" localSheetId="0">'[1]Apr 2017 Stewart, M PT V 2'!$L$36</definedName>
    <definedName name="Initials2">Sheet1!$L$37</definedName>
    <definedName name="Initials3" localSheetId="0">'[1]Apr 2017 Stewart, M PT V 2'!$L$37</definedName>
    <definedName name="Initials3">Sheet1!$L$38</definedName>
    <definedName name="Initials4" localSheetId="0">'[1]Apr 2017 Stewart, M PT V 2'!$L$38</definedName>
    <definedName name="Initials4">Sheet1!$L$39</definedName>
    <definedName name="Initials5" localSheetId="0">'[1]Apr 2017 Stewart, M PT V 2'!$L$39</definedName>
    <definedName name="Initials5">Sheet1!$L$40</definedName>
    <definedName name="Initials6" localSheetId="0">'[1]Apr 2017 Stewart, M PT V 2'!$L$40</definedName>
    <definedName name="Initials6">Sheet1!$L$41</definedName>
    <definedName name="Initials7" localSheetId="0">'[1]Apr 2017 Stewart, M PT V 2'!$L$41</definedName>
    <definedName name="Initials7">Sheet1!$L$42</definedName>
    <definedName name="Initials8" localSheetId="0">'[1]Apr 2017 Stewart, M PT V 2'!$L$42</definedName>
    <definedName name="Initials8">Sheet1!$L$43</definedName>
    <definedName name="Initials9" localSheetId="0">'[1]Apr 2017 Stewart, M PT V 2'!$AB$35</definedName>
    <definedName name="Initials9">Sheet1!$AB$36</definedName>
    <definedName name="InitialsAA1">Sheet1!$AA$31</definedName>
    <definedName name="InitialsAA2">Sheet1!$AA$32</definedName>
    <definedName name="InitialsAA3">Sheet1!$AA$33</definedName>
    <definedName name="InitialsAB1">Sheet1!$AB$31</definedName>
    <definedName name="InitialsAB2">Sheet1!$AB$32</definedName>
    <definedName name="InitialsAB3">Sheet1!$AB$33</definedName>
    <definedName name="InitialsAC1">Sheet1!$AC$31</definedName>
    <definedName name="InitialsAC2">Sheet1!$AC$32</definedName>
    <definedName name="InitialsAC3">Sheet1!$AC$33</definedName>
    <definedName name="InitialsAD1">Sheet1!$AD$31</definedName>
    <definedName name="InitialsAD2">Sheet1!$AD$32</definedName>
    <definedName name="InitialsAD3">Sheet1!$AD$33</definedName>
    <definedName name="InitialsAE1">Sheet1!$AE$31</definedName>
    <definedName name="InitialsAE2">Sheet1!$AE$32</definedName>
    <definedName name="InitialsAE3">Sheet1!$AE$33</definedName>
    <definedName name="InitialsAF1">Sheet1!$AF$31</definedName>
    <definedName name="InitialsAF2">Sheet1!$AF$32</definedName>
    <definedName name="InitialsAF3">Sheet1!$AF$33</definedName>
    <definedName name="InitialsB1">Sheet1!$B$31</definedName>
    <definedName name="InitialsB2">Sheet1!$B$32</definedName>
    <definedName name="InitialsB3">Sheet1!$B$33</definedName>
    <definedName name="InitialsC1">Sheet1!$C$31</definedName>
    <definedName name="InitialsC2">Sheet1!$C$32</definedName>
    <definedName name="InitialsC3">Sheet1!$C$33</definedName>
    <definedName name="InitialsCounter1">Sheet1!$A$77</definedName>
    <definedName name="InitialsCounter10">Sheet1!$A$86</definedName>
    <definedName name="InitialsCounter11">Sheet1!$A$87</definedName>
    <definedName name="InitialsCounter12">Sheet1!$A$88</definedName>
    <definedName name="InitialsCounter13">Sheet1!$A$89</definedName>
    <definedName name="InitialsCounter14">Sheet1!$A$90</definedName>
    <definedName name="InitialsCounter15">Sheet1!$A$91</definedName>
    <definedName name="InitialsCounter16">Sheet1!$A$92</definedName>
    <definedName name="InitialsCounter2">Sheet1!$A$78</definedName>
    <definedName name="InitialsCounter3">Sheet1!$A$79</definedName>
    <definedName name="InitialsCounter4">Sheet1!$A$80</definedName>
    <definedName name="InitialsCounter5">Sheet1!$A$81</definedName>
    <definedName name="InitialsCounter6">Sheet1!$A$82</definedName>
    <definedName name="InitialsCounter7">Sheet1!$A$83</definedName>
    <definedName name="InitialsCounter8">Sheet1!$A$84</definedName>
    <definedName name="InitialsCounter9">Sheet1!$A$85</definedName>
    <definedName name="InitialsD1">Sheet1!$D$31</definedName>
    <definedName name="InitialsD2">Sheet1!$D$32</definedName>
    <definedName name="InitialsD3">Sheet1!$D$33</definedName>
    <definedName name="InitialsE1">Sheet1!$E$31</definedName>
    <definedName name="InitialsE2">Sheet1!$E$32</definedName>
    <definedName name="InitialsE3">Sheet1!$E$33</definedName>
    <definedName name="InitialsF1">Sheet1!$F$31</definedName>
    <definedName name="InitialsF2">Sheet1!$F$32</definedName>
    <definedName name="InitialsF3">Sheet1!$F$33</definedName>
    <definedName name="InitialsG1">Sheet1!$G$31</definedName>
    <definedName name="InitialsG2">Sheet1!$G$32</definedName>
    <definedName name="InitialsG3">Sheet1!$G$33</definedName>
    <definedName name="InitialsH1">Sheet1!$H$31</definedName>
    <definedName name="InitialsH2">Sheet1!$H$32</definedName>
    <definedName name="InitialsH3">Sheet1!$H$33</definedName>
    <definedName name="InitialsI1">Sheet1!$I$31</definedName>
    <definedName name="InitialsI2">Sheet1!$I$32</definedName>
    <definedName name="InitialsI3">Sheet1!$I$33</definedName>
    <definedName name="InitialsJ1">Sheet1!$J$31</definedName>
    <definedName name="InitialsJ2">Sheet1!$J$32</definedName>
    <definedName name="InitialsJ3">Sheet1!$J$33</definedName>
    <definedName name="InitialsK1">Sheet1!$K$31</definedName>
    <definedName name="InitialsK2">Sheet1!$K$32</definedName>
    <definedName name="InitialsK3">Sheet1!$K$33</definedName>
    <definedName name="InitialsL1">Sheet1!$L$31</definedName>
    <definedName name="InitialsL2">Sheet1!$L$32</definedName>
    <definedName name="InitialsL3">Sheet1!$L$33</definedName>
    <definedName name="InitialsM1">Sheet1!$M$31</definedName>
    <definedName name="InitialsM2">Sheet1!$M$32</definedName>
    <definedName name="InitialsM3">Sheet1!$M$33</definedName>
    <definedName name="InitialsN1">Sheet1!$N$31</definedName>
    <definedName name="InitialsN2">Sheet1!$N$32</definedName>
    <definedName name="InitialsN3">Sheet1!$N$33</definedName>
    <definedName name="InitialsO1">Sheet1!$O$31</definedName>
    <definedName name="InitialsO2">Sheet1!$O$32</definedName>
    <definedName name="InitialsO3">Sheet1!$O$33</definedName>
    <definedName name="InitialsP1">Sheet1!$P$31</definedName>
    <definedName name="InitialsP2">Sheet1!$P$32</definedName>
    <definedName name="InitialsP3">Sheet1!$P$33</definedName>
    <definedName name="InitialsQ1">Sheet1!$Q$31</definedName>
    <definedName name="InitialsQ2">Sheet1!$Q$32</definedName>
    <definedName name="InitialsQ3">Sheet1!$Q$33</definedName>
    <definedName name="InitialsR1">Sheet1!$R$31</definedName>
    <definedName name="InitialsR2">Sheet1!$R$32</definedName>
    <definedName name="InitialsR3">Sheet1!$R$33</definedName>
    <definedName name="InitialsS1">Sheet1!$S$31</definedName>
    <definedName name="InitialsS2">Sheet1!$S$32</definedName>
    <definedName name="InitialsS3">Sheet1!$S$33</definedName>
    <definedName name="InitialsT1">Sheet1!$T$31</definedName>
    <definedName name="InitialsT2">Sheet1!$T$32</definedName>
    <definedName name="InitialsT3">Sheet1!$T$33</definedName>
    <definedName name="InitialsU1">Sheet1!$U$31</definedName>
    <definedName name="InitialsU2">Sheet1!$U$32</definedName>
    <definedName name="InitialsU3">Sheet1!$U$33</definedName>
    <definedName name="InitialsV1">Sheet1!$V$31</definedName>
    <definedName name="InitialsV2">Sheet1!$V$32</definedName>
    <definedName name="InitialsV3">Sheet1!$V$33</definedName>
    <definedName name="InitialsW1">Sheet1!$W$31</definedName>
    <definedName name="InitialsW2">Sheet1!$W$32</definedName>
    <definedName name="InitialsW3">Sheet1!$W$33</definedName>
    <definedName name="InitialsX1">Sheet1!$X$31</definedName>
    <definedName name="InitialsX2">Sheet1!$X$32</definedName>
    <definedName name="InitialsX3">Sheet1!$X$33</definedName>
    <definedName name="InitialsY1">Sheet1!$Y$31</definedName>
    <definedName name="InitialsY2">Sheet1!$Y$32</definedName>
    <definedName name="InitialsY3">Sheet1!$Y$33</definedName>
    <definedName name="InitialsZ1">Sheet1!$Z$31</definedName>
    <definedName name="InitialsZ2">Sheet1!$Z$32</definedName>
    <definedName name="InitialsZ3">Sheet1!$Z$33</definedName>
    <definedName name="MergedAreaTitles">Sheet1!$B$36:$AG$43</definedName>
    <definedName name="PreviousMonthVisits">Sheet1!$AB$34</definedName>
    <definedName name="TherapistName1">Sheet1!$B$36</definedName>
    <definedName name="TherapistName10">Sheet1!$R$37</definedName>
    <definedName name="TherapistName11">Sheet1!$R$38</definedName>
    <definedName name="TherapistName12">Sheet1!$R$39</definedName>
    <definedName name="TherapistName13">Sheet1!$R$40</definedName>
    <definedName name="TherapistName14">Sheet1!$R$41</definedName>
    <definedName name="TherapistName15">Sheet1!$R$42</definedName>
    <definedName name="TherapistName16">Sheet1!$R$43</definedName>
    <definedName name="TherapistName2">Sheet1!$B$37</definedName>
    <definedName name="TherapistName3">Sheet1!$B$38</definedName>
    <definedName name="TherapistName4">Sheet1!$B$39</definedName>
    <definedName name="TherapistName5">Sheet1!$B$40</definedName>
    <definedName name="TherapistName6">Sheet1!$B$41</definedName>
    <definedName name="TherapistName7">Sheet1!$B$42</definedName>
    <definedName name="TherapistName8">Sheet1!$B$43</definedName>
    <definedName name="TherapistName9">Sheet1!$R$36</definedName>
    <definedName name="Title1">Sheet1!$N$36</definedName>
    <definedName name="Title10">Sheet1!$AD$37</definedName>
    <definedName name="Title11">Sheet1!$AD$38</definedName>
    <definedName name="Title12">Sheet1!$AD$39</definedName>
    <definedName name="Title13">Sheet1!$AD$40</definedName>
    <definedName name="Title14">Sheet1!$AD$41</definedName>
    <definedName name="Title15">Sheet1!$AD$42</definedName>
    <definedName name="Title16">Sheet1!$AD$43</definedName>
    <definedName name="Title2">Sheet1!$N$37</definedName>
    <definedName name="Title3">Sheet1!$N$38</definedName>
    <definedName name="Title4">Sheet1!$N$39</definedName>
    <definedName name="Title5">Sheet1!$N$40</definedName>
    <definedName name="Title6">Sheet1!$N$41</definedName>
    <definedName name="Title7">Sheet1!$N$42</definedName>
    <definedName name="Title8">Sheet1!$N$43</definedName>
    <definedName name="Title9">Sheet1!$AD$36</definedName>
    <definedName name="TotalMinutes">Sheet1!$AG$30</definedName>
    <definedName name="TotalTreatmentMinutesAA">Sheet1!$AA$30</definedName>
    <definedName name="TotalTreatmentMinutesAB">Sheet1!$AB$30</definedName>
    <definedName name="TotalTreatmentMinutesAC">Sheet1!$AC$30</definedName>
    <definedName name="TotalTreatmentMinutesAD">Sheet1!$AD$30</definedName>
    <definedName name="TotalTreatmentMinutesAE">Sheet1!$AE$30</definedName>
    <definedName name="TotalTreatmentMinutesAF">Sheet1!$AF$30</definedName>
    <definedName name="TotalTreatmentMinutesB">Sheet1!$B$30</definedName>
    <definedName name="TotalTreatmentMinutesC">Sheet1!$C$30</definedName>
    <definedName name="TotalTreatmentMinutesD">Sheet1!$D$30</definedName>
    <definedName name="TotalTreatmentMinutesE">Sheet1!$E$30</definedName>
    <definedName name="TotalTreatmentMinutesF">Sheet1!$F$30</definedName>
    <definedName name="TotalTreatmentMinutesG">Sheet1!$G$30</definedName>
    <definedName name="TotalTreatmentMinutesH">Sheet1!$H$30</definedName>
    <definedName name="TotalTreatmentMinutesI">Sheet1!$I$30</definedName>
    <definedName name="TotalTreatmentMinutesJ">Sheet1!$J$30</definedName>
    <definedName name="TotalTreatmentMinutesK">Sheet1!$K$30</definedName>
    <definedName name="TotalTreatmentMinutesL">Sheet1!$L$30</definedName>
    <definedName name="TotalTreatmentMinutesM">Sheet1!$M$30</definedName>
    <definedName name="TotalTreatmentMinutesN">Sheet1!$N$30</definedName>
    <definedName name="TotalTreatmentMinutesO">Sheet1!$O$30</definedName>
    <definedName name="TotalTreatmentMinutesP">Sheet1!$P$30</definedName>
    <definedName name="TotalTreatmentMinutesQ">Sheet1!$Q$30</definedName>
    <definedName name="TotalTreatmentMinutesR">Sheet1!$R$30</definedName>
    <definedName name="TotalTreatmentMinutesS">Sheet1!$S$30</definedName>
    <definedName name="TotalTreatmentMinutesT">Sheet1!$T$30</definedName>
    <definedName name="TotalTreatmentMinutesU">Sheet1!$U$30</definedName>
    <definedName name="TotalTreatmentMinutesV">Sheet1!$V$30</definedName>
    <definedName name="TotalTreatmentMinutesV\">Sheet1!$V$30</definedName>
    <definedName name="TotalTreatmentMinutesW">Sheet1!$W$30</definedName>
    <definedName name="TotalTreatmentMinutesX">Sheet1!$X$30</definedName>
    <definedName name="TotalTreatmentMinutesY">Sheet1!$Y$30</definedName>
    <definedName name="TotalTreatmentMinutesZ">Sheet1!$Z$30</definedName>
    <definedName name="TreatmentFrequency1">Sheet1!$B$45</definedName>
    <definedName name="TreatmentFrequency10">Sheet1!$K$45</definedName>
    <definedName name="TreatmentFrequency11">Sheet1!$L$45</definedName>
    <definedName name="TreatmentFrequency12">Sheet1!$M$45</definedName>
    <definedName name="TreatmentFrequency13">Sheet1!$N$45</definedName>
    <definedName name="TreatmentFrequency14">Sheet1!$O$45</definedName>
    <definedName name="TreatmentFrequency15">Sheet1!$P$45</definedName>
    <definedName name="TreatmentFrequency16">Sheet1!$Q$45</definedName>
    <definedName name="TreatmentFrequency17">Sheet1!$R$45</definedName>
    <definedName name="TreatmentFrequency18">Sheet1!$S$45</definedName>
    <definedName name="TreatmentFrequency19">Sheet1!$T$45</definedName>
    <definedName name="TreatmentFrequency2">Sheet1!$C$45</definedName>
    <definedName name="TreatmentFrequency20">Sheet1!$U$45</definedName>
    <definedName name="TreatmentFrequency21">Sheet1!$V$45</definedName>
    <definedName name="TreatmentFrequency22">Sheet1!$W$45</definedName>
    <definedName name="TreatmentFrequency23">Sheet1!$X$45</definedName>
    <definedName name="TreatmentFrequency24">Sheet1!$Y$45</definedName>
    <definedName name="TreatmentFrequency25">Sheet1!$Z$45</definedName>
    <definedName name="TreatmentFrequency26">Sheet1!$AA$45</definedName>
    <definedName name="TreatmentFrequency27">Sheet1!$AB$45</definedName>
    <definedName name="TreatmentFrequency28">Sheet1!$AC$45</definedName>
    <definedName name="TreatmentFrequency29">Sheet1!$AD$45</definedName>
    <definedName name="TreatmentFrequency3">Sheet1!$D$45</definedName>
    <definedName name="TreatmentFrequency30">Sheet1!$AE$45</definedName>
    <definedName name="TreatmentFrequency31">Sheet1!$AF$45</definedName>
    <definedName name="TreatmentFrequency4">Sheet1!$E$45</definedName>
    <definedName name="TreatmentFrequency5">Sheet1!$F$45</definedName>
    <definedName name="TreatmentFrequency6">Sheet1!$G$45</definedName>
    <definedName name="TreatmentFrequency7">Sheet1!$H$45</definedName>
    <definedName name="TreatmentFrequency8">Sheet1!$I$45</definedName>
    <definedName name="TreatmentFrequency9">Sheet1!$J$45</definedName>
    <definedName name="TreatmentMinutesAA">Sheet1!$AA$29</definedName>
    <definedName name="TreatmentMinutesAB">Sheet1!$AB$29</definedName>
    <definedName name="TreatmentMinutesAC">Sheet1!$AC$29</definedName>
    <definedName name="TreatmentMinutesAD">Sheet1!$AD$29</definedName>
    <definedName name="TreatmentMinutesAE">Sheet1!$AE$29</definedName>
    <definedName name="TreatmentMinutesAF">Sheet1!$AF$29</definedName>
    <definedName name="TreatmentMinutesB">Sheet1!$B$29</definedName>
    <definedName name="TreatmentMinutesC">Sheet1!$C$29</definedName>
    <definedName name="TreatmentMinutesD">Sheet1!$D$29</definedName>
    <definedName name="TreatmentMinutesE">Sheet1!$E$29</definedName>
    <definedName name="TreatmentMinutesF">Sheet1!$F$29</definedName>
    <definedName name="TreatmentMinutesG">Sheet1!$G$29</definedName>
    <definedName name="TreatmentMinutesH">Sheet1!$H$29</definedName>
    <definedName name="TreatmentMinutesI">Sheet1!$I$29</definedName>
    <definedName name="TreatmentMinutesJ">Sheet1!$J$29</definedName>
    <definedName name="TreatmentMinutesK">Sheet1!$K$29</definedName>
    <definedName name="TreatmentMinutesL">Sheet1!$L$29</definedName>
    <definedName name="TreatmentMinutesM">Sheet1!$M$29</definedName>
    <definedName name="TreatmentMinutesN">Sheet1!$N$29</definedName>
    <definedName name="TreatmentMinutesO">Sheet1!$O$29</definedName>
    <definedName name="TreatmentMinutesP">Sheet1!$P$29</definedName>
    <definedName name="TreatmentMinutesQ">Sheet1!$Q$29</definedName>
    <definedName name="TreatmentMinutesR">Sheet1!$R$29</definedName>
    <definedName name="TreatmentMinutesS">Sheet1!$S$29</definedName>
    <definedName name="TreatmentMinutesT">Sheet1!$T$29</definedName>
    <definedName name="TreatmentMinutesU">Sheet1!$U$29</definedName>
    <definedName name="TreatmentMinutesV">Sheet1!$V$29</definedName>
    <definedName name="TreatmentMinutesW">Sheet1!$W$29</definedName>
    <definedName name="TreatmentMinutesX">Sheet1!$X$29</definedName>
    <definedName name="TreatmentMinutesY">Sheet1!$Y$29</definedName>
    <definedName name="TreatmentMinutesZ">Sheet1!$Z$29</definedName>
  </definedNames>
  <calcPr calcId="145621"/>
</workbook>
</file>

<file path=xl/calcChain.xml><?xml version="1.0" encoding="utf-8"?>
<calcChain xmlns="http://schemas.openxmlformats.org/spreadsheetml/2006/main">
  <c r="E10" i="25" l="1"/>
  <c r="G10" i="25"/>
  <c r="A8" i="25" l="1"/>
  <c r="A10" i="25"/>
  <c r="A19" i="25"/>
  <c r="A20" i="25"/>
  <c r="I48" i="24" l="1"/>
  <c r="B29" i="24" l="1"/>
  <c r="B30" i="24" s="1"/>
  <c r="AG34" i="24"/>
  <c r="I47" i="24" s="1"/>
  <c r="AF29" i="24"/>
  <c r="AF30" i="24" s="1"/>
  <c r="AE29" i="24"/>
  <c r="AE30" i="24" s="1"/>
  <c r="AD29" i="24"/>
  <c r="AD30" i="24" s="1"/>
  <c r="AC29" i="24"/>
  <c r="AC30" i="24" s="1"/>
  <c r="AB29" i="24"/>
  <c r="AB30" i="24" s="1"/>
  <c r="AA29" i="24"/>
  <c r="AA30" i="24" s="1"/>
  <c r="Z29" i="24"/>
  <c r="Z30" i="24" s="1"/>
  <c r="Y29" i="24"/>
  <c r="Y30" i="24" s="1"/>
  <c r="X29" i="24"/>
  <c r="X30" i="24" s="1"/>
  <c r="W29" i="24"/>
  <c r="W30" i="24" s="1"/>
  <c r="V29" i="24"/>
  <c r="V30" i="24" s="1"/>
  <c r="U29" i="24"/>
  <c r="U30" i="24" s="1"/>
  <c r="T29" i="24"/>
  <c r="T30" i="24" s="1"/>
  <c r="S29" i="24"/>
  <c r="S30" i="24" s="1"/>
  <c r="R29" i="24"/>
  <c r="R30" i="24" s="1"/>
  <c r="Q29" i="24"/>
  <c r="Q30" i="24" s="1"/>
  <c r="E29" i="24" l="1"/>
  <c r="E30" i="24" s="1"/>
  <c r="P29" i="24"/>
  <c r="P30" i="24" s="1"/>
  <c r="O29" i="24"/>
  <c r="O30" i="24" s="1"/>
  <c r="N29" i="24"/>
  <c r="N30" i="24" s="1"/>
  <c r="M29" i="24"/>
  <c r="M30" i="24" s="1"/>
  <c r="L29" i="24"/>
  <c r="L30" i="24" s="1"/>
  <c r="K29" i="24"/>
  <c r="K30" i="24" s="1"/>
  <c r="J29" i="24"/>
  <c r="J30" i="24" s="1"/>
  <c r="I29" i="24"/>
  <c r="I30" i="24" s="1"/>
  <c r="H29" i="24"/>
  <c r="H30" i="24" s="1"/>
  <c r="G29" i="24"/>
  <c r="G30" i="24" s="1"/>
  <c r="F29" i="24"/>
  <c r="F30" i="24" s="1"/>
  <c r="D29" i="24"/>
  <c r="D30" i="24" s="1"/>
  <c r="C29" i="24"/>
  <c r="C30" i="24" s="1"/>
  <c r="AG30" i="24" l="1"/>
  <c r="A92" i="24" l="1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</calcChain>
</file>

<file path=xl/sharedStrings.xml><?xml version="1.0" encoding="utf-8"?>
<sst xmlns="http://schemas.openxmlformats.org/spreadsheetml/2006/main" count="84" uniqueCount="80">
  <si>
    <t>Columbine Therapy Services --</t>
  </si>
  <si>
    <t xml:space="preserve">       Med A           Humana</t>
  </si>
  <si>
    <t>BC/BS</t>
  </si>
  <si>
    <r>
      <t xml:space="preserve">       </t>
    </r>
    <r>
      <rPr>
        <b/>
        <sz val="10"/>
        <rFont val="Times New Roman"/>
        <family val="1"/>
      </rPr>
      <t>Kaiser</t>
    </r>
  </si>
  <si>
    <t>Other, Negotiated Contract (Payor:</t>
  </si>
  <si>
    <t>)</t>
  </si>
  <si>
    <t>Facility:</t>
  </si>
  <si>
    <t xml:space="preserve">Month/Year: </t>
  </si>
  <si>
    <t xml:space="preserve">Physician: </t>
  </si>
  <si>
    <t xml:space="preserve">Tx Dx and Code(ICD-10): </t>
  </si>
  <si>
    <t xml:space="preserve">Med Dx: </t>
  </si>
  <si>
    <t xml:space="preserve">Date of Onset: </t>
  </si>
  <si>
    <t xml:space="preserve">Date of Eval: </t>
  </si>
  <si>
    <t>Date of Recert:</t>
  </si>
  <si>
    <t xml:space="preserve">Date of D/C from therapy: </t>
  </si>
  <si>
    <t xml:space="preserve">Total Mins </t>
  </si>
  <si>
    <t>Initials</t>
  </si>
  <si>
    <t>A. Dr Appt</t>
  </si>
  <si>
    <t>B. Ill/Pain</t>
  </si>
  <si>
    <t>C. Med Hold</t>
  </si>
  <si>
    <t>D. Other</t>
  </si>
  <si>
    <t>Therapist's Name (Print)</t>
  </si>
  <si>
    <t>Title</t>
  </si>
  <si>
    <t>Jan</t>
  </si>
  <si>
    <t>Feb</t>
  </si>
  <si>
    <t>Apr</t>
  </si>
  <si>
    <t>May</t>
  </si>
  <si>
    <t>Aug</t>
  </si>
  <si>
    <t>Oct</t>
  </si>
  <si>
    <t>Nov</t>
  </si>
  <si>
    <t>Dec</t>
  </si>
  <si>
    <t>Sep</t>
  </si>
  <si>
    <t>Jun</t>
  </si>
  <si>
    <t>Jul</t>
  </si>
  <si>
    <t>Mar</t>
  </si>
  <si>
    <t>Month</t>
  </si>
  <si>
    <t>Year</t>
  </si>
  <si>
    <t>&lt;-- That is a button!</t>
  </si>
  <si>
    <t>Command Buttons</t>
  </si>
  <si>
    <r>
      <t xml:space="preserve">Total Visits for </t>
    </r>
    <r>
      <rPr>
        <b/>
        <sz val="6"/>
        <color rgb="FF0000FF"/>
        <rFont val="Arial"/>
        <family val="2"/>
      </rPr>
      <t>This Month:</t>
    </r>
  </si>
  <si>
    <t>Month:</t>
  </si>
  <si>
    <t>Year:</t>
  </si>
  <si>
    <t>Patient First Name:</t>
  </si>
  <si>
    <t>Patient Last Name:</t>
  </si>
  <si>
    <t>INSTRUCTIONS:</t>
  </si>
  <si>
    <t>Use the drop-down lists to select a month and year,</t>
  </si>
  <si>
    <r>
      <t>"Create Therapy Log" button at the top.</t>
    </r>
    <r>
      <rPr>
        <b/>
        <sz val="11"/>
        <color theme="1"/>
        <rFont val="Calibri"/>
        <family val="2"/>
        <scheme val="minor"/>
      </rPr>
      <t/>
    </r>
  </si>
  <si>
    <t xml:space="preserve"> Occupational Therapy Treatment Encounter Note</t>
  </si>
  <si>
    <t>Occupational Therapy Rx</t>
  </si>
  <si>
    <t>Attendance Code:</t>
  </si>
  <si>
    <t>97035: Ultrasound (T)</t>
  </si>
  <si>
    <t xml:space="preserve">97110:Ther-ex ROM/Strength (T) </t>
  </si>
  <si>
    <t>97112: Ther-ex neuro re-ed (T)</t>
  </si>
  <si>
    <t>97124: Massage/ percussion(T)</t>
  </si>
  <si>
    <t>97140: Manual Rx(T)</t>
  </si>
  <si>
    <t>97530: Ther-ex/Fxl activity (T)</t>
  </si>
  <si>
    <t>97532: Develop cognitive skills (T)</t>
  </si>
  <si>
    <t>97533:Sensory integration(T)</t>
  </si>
  <si>
    <t>97535:Ther Ex self-care/home(T)</t>
  </si>
  <si>
    <t>97542: Wc Manage (T)</t>
  </si>
  <si>
    <t>97760: Orthotic fit/training(T)</t>
  </si>
  <si>
    <t>97762:Orthotic/prosthetic checkout(T)</t>
  </si>
  <si>
    <r>
      <t xml:space="preserve">Total Visits from </t>
    </r>
    <r>
      <rPr>
        <b/>
        <sz val="6"/>
        <color rgb="FF0000FF"/>
        <rFont val="Arial"/>
        <family val="2"/>
      </rPr>
      <t>Previous Months</t>
    </r>
    <r>
      <rPr>
        <b/>
        <sz val="6"/>
        <rFont val="Arial"/>
        <family val="2"/>
      </rPr>
      <t xml:space="preserve"> for</t>
    </r>
    <r>
      <rPr>
        <b/>
        <sz val="6"/>
        <color rgb="FF0000FF"/>
        <rFont val="Arial"/>
        <family val="2"/>
      </rPr>
      <t xml:space="preserve"> Current Episode of Care:</t>
    </r>
  </si>
  <si>
    <t xml:space="preserve">Patient's Name (Last, First): </t>
  </si>
  <si>
    <t>and input the patient's last name and first name. Next, push the</t>
  </si>
  <si>
    <t>Centre Ave Health &amp; Rehab</t>
  </si>
  <si>
    <t>Total treatment mins/MDS (timed and untimed tx)</t>
  </si>
  <si>
    <t>Timed treatment minutes</t>
  </si>
  <si>
    <t>97032 Estim Attended (T)</t>
  </si>
  <si>
    <t>97024 SWD Supervised (S)</t>
  </si>
  <si>
    <t>97165: Evaluation LOW (S)</t>
  </si>
  <si>
    <t>97166: Evaluation MOD (S)</t>
  </si>
  <si>
    <t>97167: Evaluation HIGH (S)</t>
  </si>
  <si>
    <t>97168: Re-evaluation (S)</t>
  </si>
  <si>
    <t>G0283 E-stim unattended (S)</t>
  </si>
  <si>
    <t># of Days Patient Seen Twice:</t>
  </si>
  <si>
    <t>Total Days Patient Seen:</t>
  </si>
  <si>
    <t>(updated 03/08/2017)</t>
  </si>
  <si>
    <t>Is this a UCHealth patient?</t>
  </si>
  <si>
    <t>Is this an orthopedic patient?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</si>
</sst>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-yy;@"/>
    <numFmt numFmtId="165" formatCode="mmm\ yy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b/>
      <sz val="10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1" tint="0.249977111117893"/>
      <name val="Wingdings 3"/>
      <family val="1"/>
      <charset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8"/>
      <name val="Arial"/>
      <family val="2"/>
    </font>
    <font>
      <sz val="8"/>
      <color rgb="FF000000"/>
      <name val="Tahoma"/>
      <family val="2"/>
    </font>
    <font>
      <b/>
      <sz val="6"/>
      <color rgb="FF0000FF"/>
      <name val="Arial"/>
      <family val="2"/>
    </font>
    <font>
      <sz val="8"/>
      <color indexed="8"/>
      <name val="Arial"/>
      <family val="2"/>
    </font>
    <font>
      <b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BFFC8"/>
        <bgColor indexed="64"/>
      </patternFill>
    </fill>
    <fill>
      <patternFill patternType="solid">
        <fgColor rgb="FF99FFCC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183">
    <xf numFmtId="0" fontId="0" fillId="0" borderId="0" xfId="0"/>
    <xf numFmtId="0" fontId="3" fillId="2" borderId="1" xfId="1" applyFont="1" applyFill="1" applyBorder="1" applyAlignment="1" applyProtection="1">
      <protection locked="0"/>
    </xf>
    <xf numFmtId="0" fontId="3" fillId="0" borderId="3" xfId="1" applyFont="1" applyBorder="1" applyAlignment="1" applyProtection="1"/>
    <xf numFmtId="0" fontId="6" fillId="0" borderId="6" xfId="1" applyFont="1" applyBorder="1" applyProtection="1"/>
    <xf numFmtId="0" fontId="4" fillId="0" borderId="7" xfId="1" applyFont="1" applyBorder="1" applyAlignment="1" applyProtection="1">
      <alignment horizontal="center" vertical="top"/>
    </xf>
    <xf numFmtId="0" fontId="4" fillId="0" borderId="8" xfId="1" applyFont="1" applyBorder="1" applyProtection="1"/>
    <xf numFmtId="0" fontId="1" fillId="0" borderId="10" xfId="1" applyBorder="1" applyProtection="1"/>
    <xf numFmtId="0" fontId="8" fillId="0" borderId="13" xfId="1" applyFont="1" applyBorder="1" applyAlignment="1" applyProtection="1">
      <alignment horizontal="center" vertical="center" wrapText="1"/>
    </xf>
    <xf numFmtId="0" fontId="7" fillId="0" borderId="15" xfId="1" applyFont="1" applyBorder="1" applyAlignment="1" applyProtection="1">
      <alignment horizontal="left"/>
    </xf>
    <xf numFmtId="0" fontId="7" fillId="0" borderId="0" xfId="1" applyFont="1" applyBorder="1" applyProtection="1"/>
    <xf numFmtId="0" fontId="1" fillId="0" borderId="16" xfId="1" applyBorder="1" applyAlignment="1" applyProtection="1"/>
    <xf numFmtId="0" fontId="1" fillId="0" borderId="0" xfId="1" applyProtection="1"/>
    <xf numFmtId="0" fontId="4" fillId="0" borderId="0" xfId="1" applyFont="1" applyProtection="1"/>
    <xf numFmtId="0" fontId="0" fillId="3" borderId="0" xfId="0" applyFill="1" applyBorder="1" applyProtection="1"/>
    <xf numFmtId="0" fontId="14" fillId="3" borderId="3" xfId="0" applyFont="1" applyFill="1" applyBorder="1" applyAlignment="1" applyProtection="1">
      <alignment horizontal="center" vertical="center"/>
    </xf>
    <xf numFmtId="0" fontId="10" fillId="3" borderId="7" xfId="0" applyFont="1" applyFill="1" applyBorder="1" applyProtection="1"/>
    <xf numFmtId="0" fontId="14" fillId="3" borderId="5" xfId="0" applyFont="1" applyFill="1" applyBorder="1" applyAlignment="1" applyProtection="1">
      <alignment horizontal="center" vertical="center"/>
    </xf>
    <xf numFmtId="0" fontId="11" fillId="3" borderId="0" xfId="0" applyFont="1" applyFill="1" applyBorder="1" applyProtection="1"/>
    <xf numFmtId="0" fontId="14" fillId="3" borderId="1" xfId="0" applyFont="1" applyFill="1" applyBorder="1" applyAlignment="1" applyProtection="1">
      <alignment vertical="center"/>
    </xf>
    <xf numFmtId="0" fontId="14" fillId="3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0" fontId="15" fillId="3" borderId="17" xfId="0" applyFont="1" applyFill="1" applyBorder="1" applyProtection="1"/>
    <xf numFmtId="0" fontId="0" fillId="3" borderId="18" xfId="0" applyFill="1" applyBorder="1" applyAlignment="1" applyProtection="1"/>
    <xf numFmtId="0" fontId="0" fillId="3" borderId="19" xfId="0" applyFill="1" applyBorder="1" applyProtection="1"/>
    <xf numFmtId="0" fontId="0" fillId="3" borderId="0" xfId="0" applyFill="1" applyBorder="1" applyAlignment="1" applyProtection="1"/>
    <xf numFmtId="0" fontId="0" fillId="3" borderId="20" xfId="0" applyFill="1" applyBorder="1" applyProtection="1"/>
    <xf numFmtId="0" fontId="0" fillId="3" borderId="21" xfId="0" applyFill="1" applyBorder="1" applyAlignment="1" applyProtection="1"/>
    <xf numFmtId="164" fontId="0" fillId="3" borderId="0" xfId="0" applyNumberFormat="1" applyFill="1" applyBorder="1" applyProtection="1"/>
    <xf numFmtId="165" fontId="12" fillId="2" borderId="3" xfId="0" applyNumberFormat="1" applyFont="1" applyFill="1" applyBorder="1" applyAlignment="1" applyProtection="1">
      <alignment horizontal="center" vertical="center"/>
      <protection locked="0"/>
    </xf>
    <xf numFmtId="1" fontId="12" fillId="2" borderId="5" xfId="0" applyNumberFormat="1" applyFont="1" applyFill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vertical="center"/>
      <protection locked="0"/>
    </xf>
    <xf numFmtId="0" fontId="17" fillId="2" borderId="1" xfId="0" applyFont="1" applyFill="1" applyBorder="1" applyAlignment="1" applyProtection="1">
      <alignment vertical="center"/>
      <protection locked="0"/>
    </xf>
    <xf numFmtId="0" fontId="0" fillId="3" borderId="25" xfId="0" applyFill="1" applyBorder="1" applyAlignment="1" applyProtection="1"/>
    <xf numFmtId="0" fontId="0" fillId="3" borderId="26" xfId="0" applyFill="1" applyBorder="1" applyAlignment="1" applyProtection="1"/>
    <xf numFmtId="0" fontId="0" fillId="3" borderId="27" xfId="0" applyFill="1" applyBorder="1" applyAlignment="1" applyProtection="1"/>
    <xf numFmtId="0" fontId="5" fillId="2" borderId="4" xfId="1" applyFont="1" applyFill="1" applyBorder="1" applyAlignment="1" applyProtection="1"/>
    <xf numFmtId="0" fontId="3" fillId="2" borderId="4" xfId="1" applyFont="1" applyFill="1" applyBorder="1" applyAlignment="1" applyProtection="1"/>
    <xf numFmtId="0" fontId="7" fillId="2" borderId="1" xfId="1" applyFont="1" applyFill="1" applyBorder="1" applyAlignment="1" applyProtection="1">
      <alignment wrapText="1"/>
    </xf>
    <xf numFmtId="0" fontId="5" fillId="2" borderId="3" xfId="1" applyFont="1" applyFill="1" applyBorder="1" applyAlignment="1" applyProtection="1"/>
    <xf numFmtId="0" fontId="1" fillId="2" borderId="14" xfId="1" applyFill="1" applyBorder="1" applyProtection="1"/>
    <xf numFmtId="0" fontId="1" fillId="0" borderId="8" xfId="1" applyBorder="1" applyProtection="1"/>
    <xf numFmtId="0" fontId="1" fillId="0" borderId="35" xfId="1" applyFill="1" applyBorder="1" applyAlignment="1" applyProtection="1">
      <alignment horizontal="center" vertical="top"/>
    </xf>
    <xf numFmtId="0" fontId="4" fillId="0" borderId="8" xfId="1" applyFont="1" applyFill="1" applyBorder="1" applyAlignment="1" applyProtection="1">
      <alignment horizontal="center"/>
    </xf>
    <xf numFmtId="0" fontId="1" fillId="0" borderId="10" xfId="1" applyFill="1" applyBorder="1" applyProtection="1"/>
    <xf numFmtId="0" fontId="1" fillId="0" borderId="33" xfId="1" applyFill="1" applyBorder="1" applyProtection="1"/>
    <xf numFmtId="0" fontId="7" fillId="2" borderId="9" xfId="1" applyFont="1" applyFill="1" applyBorder="1" applyAlignment="1" applyProtection="1">
      <alignment horizontal="right"/>
      <protection locked="0"/>
    </xf>
    <xf numFmtId="0" fontId="7" fillId="2" borderId="1" xfId="1" applyFont="1" applyFill="1" applyBorder="1" applyAlignment="1" applyProtection="1">
      <alignment horizontal="right"/>
      <protection locked="0"/>
    </xf>
    <xf numFmtId="0" fontId="21" fillId="0" borderId="9" xfId="1" applyFont="1" applyBorder="1" applyAlignment="1" applyProtection="1">
      <alignment vertical="center"/>
      <protection locked="0"/>
    </xf>
    <xf numFmtId="0" fontId="7" fillId="0" borderId="1" xfId="1" applyFont="1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vertical="center"/>
      <protection locked="0"/>
    </xf>
    <xf numFmtId="0" fontId="21" fillId="0" borderId="1" xfId="1" applyFont="1" applyBorder="1" applyAlignment="1" applyProtection="1">
      <alignment vertical="center" wrapText="1"/>
      <protection locked="0"/>
    </xf>
    <xf numFmtId="0" fontId="21" fillId="0" borderId="1" xfId="1" applyFont="1" applyBorder="1" applyAlignment="1" applyProtection="1">
      <alignment vertical="center"/>
      <protection locked="0"/>
    </xf>
    <xf numFmtId="0" fontId="7" fillId="2" borderId="11" xfId="1" applyFont="1" applyFill="1" applyBorder="1" applyAlignment="1" applyProtection="1">
      <alignment wrapText="1"/>
    </xf>
    <xf numFmtId="0" fontId="7" fillId="2" borderId="3" xfId="1" applyFont="1" applyFill="1" applyBorder="1" applyAlignment="1" applyProtection="1">
      <alignment wrapText="1"/>
    </xf>
    <xf numFmtId="0" fontId="13" fillId="4" borderId="1" xfId="2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right"/>
      <protection locked="0"/>
    </xf>
    <xf numFmtId="0" fontId="1" fillId="0" borderId="11" xfId="1" applyFont="1" applyBorder="1" applyAlignment="1" applyProtection="1">
      <alignment vertical="center"/>
    </xf>
    <xf numFmtId="0" fontId="22" fillId="0" borderId="11" xfId="1" applyFont="1" applyBorder="1" applyAlignment="1" applyProtection="1">
      <alignment vertical="center" wrapText="1"/>
    </xf>
    <xf numFmtId="0" fontId="1" fillId="0" borderId="0" xfId="1" applyProtection="1">
      <protection locked="0"/>
    </xf>
    <xf numFmtId="0" fontId="8" fillId="0" borderId="10" xfId="1" applyFont="1" applyFill="1" applyBorder="1" applyAlignment="1" applyProtection="1">
      <alignment wrapText="1"/>
    </xf>
    <xf numFmtId="0" fontId="1" fillId="0" borderId="37" xfId="1" applyFill="1" applyBorder="1" applyProtection="1"/>
    <xf numFmtId="0" fontId="1" fillId="0" borderId="36" xfId="1" applyFill="1" applyBorder="1" applyProtection="1"/>
    <xf numFmtId="0" fontId="1" fillId="0" borderId="5" xfId="1" applyBorder="1" applyProtection="1">
      <protection locked="0"/>
    </xf>
    <xf numFmtId="0" fontId="7" fillId="6" borderId="12" xfId="1" applyFont="1" applyFill="1" applyBorder="1" applyAlignment="1" applyProtection="1">
      <alignment horizontal="center"/>
      <protection locked="0"/>
    </xf>
    <xf numFmtId="0" fontId="7" fillId="2" borderId="34" xfId="1" applyFont="1" applyFill="1" applyBorder="1" applyAlignment="1" applyProtection="1">
      <alignment horizontal="center"/>
      <protection locked="0"/>
    </xf>
    <xf numFmtId="0" fontId="21" fillId="0" borderId="34" xfId="1" applyFont="1" applyBorder="1" applyAlignment="1" applyProtection="1">
      <alignment vertical="center"/>
      <protection locked="0"/>
    </xf>
    <xf numFmtId="0" fontId="21" fillId="0" borderId="11" xfId="1" applyFont="1" applyBorder="1" applyAlignment="1" applyProtection="1">
      <alignment vertical="center"/>
      <protection locked="0"/>
    </xf>
    <xf numFmtId="0" fontId="7" fillId="2" borderId="11" xfId="1" applyFont="1" applyFill="1" applyBorder="1" applyAlignment="1" applyProtection="1">
      <alignment horizontal="center"/>
      <protection locked="0"/>
    </xf>
    <xf numFmtId="0" fontId="7" fillId="7" borderId="11" xfId="1" applyFont="1" applyFill="1" applyBorder="1" applyAlignment="1" applyProtection="1">
      <alignment horizontal="center"/>
      <protection locked="0"/>
    </xf>
    <xf numFmtId="0" fontId="21" fillId="0" borderId="1" xfId="1" applyFont="1" applyFill="1" applyBorder="1" applyAlignment="1" applyProtection="1">
      <alignment vertical="center"/>
      <protection locked="0"/>
    </xf>
    <xf numFmtId="0" fontId="7" fillId="0" borderId="0" xfId="1" applyFont="1" applyAlignment="1" applyProtection="1">
      <alignment vertical="center"/>
      <protection locked="0"/>
    </xf>
    <xf numFmtId="0" fontId="7" fillId="7" borderId="1" xfId="1" applyFont="1" applyFill="1" applyBorder="1" applyAlignment="1" applyProtection="1">
      <alignment horizontal="right"/>
      <protection locked="0"/>
    </xf>
    <xf numFmtId="0" fontId="7" fillId="7" borderId="9" xfId="1" applyFont="1" applyFill="1" applyBorder="1" applyAlignment="1" applyProtection="1">
      <alignment horizontal="right"/>
      <protection locked="0"/>
    </xf>
    <xf numFmtId="0" fontId="7" fillId="2" borderId="1" xfId="1" applyFont="1" applyFill="1" applyBorder="1" applyAlignment="1" applyProtection="1">
      <alignment horizontal="center"/>
    </xf>
    <xf numFmtId="0" fontId="7" fillId="7" borderId="1" xfId="1" applyFont="1" applyFill="1" applyBorder="1" applyAlignment="1" applyProtection="1">
      <alignment horizontal="center" wrapText="1"/>
    </xf>
    <xf numFmtId="0" fontId="4" fillId="2" borderId="14" xfId="1" applyFont="1" applyFill="1" applyBorder="1" applyProtection="1"/>
    <xf numFmtId="0" fontId="7" fillId="2" borderId="1" xfId="1" applyFont="1" applyFill="1" applyBorder="1" applyProtection="1"/>
    <xf numFmtId="0" fontId="7" fillId="2" borderId="3" xfId="1" applyFont="1" applyFill="1" applyBorder="1" applyProtection="1"/>
    <xf numFmtId="0" fontId="7" fillId="7" borderId="1" xfId="1" applyFont="1" applyFill="1" applyBorder="1" applyAlignment="1" applyProtection="1">
      <alignment wrapText="1"/>
    </xf>
    <xf numFmtId="0" fontId="7" fillId="7" borderId="11" xfId="1" applyFont="1" applyFill="1" applyBorder="1" applyAlignment="1" applyProtection="1">
      <alignment wrapText="1"/>
    </xf>
    <xf numFmtId="0" fontId="7" fillId="7" borderId="3" xfId="1" applyFont="1" applyFill="1" applyBorder="1" applyAlignment="1" applyProtection="1">
      <alignment wrapText="1"/>
    </xf>
    <xf numFmtId="0" fontId="1" fillId="0" borderId="14" xfId="1" applyBorder="1" applyProtection="1"/>
    <xf numFmtId="0" fontId="5" fillId="2" borderId="0" xfId="1" applyFont="1" applyFill="1" applyAlignment="1" applyProtection="1">
      <alignment horizontal="center" vertical="top" wrapText="1"/>
    </xf>
    <xf numFmtId="0" fontId="16" fillId="5" borderId="22" xfId="0" applyFont="1" applyFill="1" applyBorder="1" applyAlignment="1" applyProtection="1">
      <alignment horizontal="center"/>
    </xf>
    <xf numFmtId="0" fontId="16" fillId="5" borderId="24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2" fillId="0" borderId="2" xfId="1" applyFont="1" applyBorder="1" applyAlignment="1" applyProtection="1">
      <alignment horizontal="center" vertical="top"/>
    </xf>
    <xf numFmtId="0" fontId="5" fillId="2" borderId="3" xfId="1" applyFont="1" applyFill="1" applyBorder="1" applyAlignment="1" applyProtection="1">
      <alignment horizontal="center" vertical="top"/>
    </xf>
    <xf numFmtId="0" fontId="5" fillId="2" borderId="4" xfId="1" applyFont="1" applyFill="1" applyBorder="1" applyAlignment="1" applyProtection="1">
      <alignment horizontal="center" vertical="top"/>
    </xf>
    <xf numFmtId="0" fontId="5" fillId="2" borderId="5" xfId="1" applyFont="1" applyFill="1" applyBorder="1" applyAlignment="1" applyProtection="1">
      <alignment horizontal="center" vertical="top"/>
    </xf>
    <xf numFmtId="0" fontId="1" fillId="2" borderId="3" xfId="1" applyFill="1" applyBorder="1" applyAlignment="1" applyProtection="1">
      <alignment horizontal="center"/>
      <protection locked="0"/>
    </xf>
    <xf numFmtId="0" fontId="1" fillId="2" borderId="4" xfId="1" applyFill="1" applyBorder="1" applyAlignment="1" applyProtection="1">
      <alignment horizontal="center"/>
      <protection locked="0"/>
    </xf>
    <xf numFmtId="0" fontId="1" fillId="2" borderId="33" xfId="1" applyFill="1" applyBorder="1" applyAlignment="1" applyProtection="1">
      <alignment horizontal="center"/>
      <protection locked="0"/>
    </xf>
    <xf numFmtId="0" fontId="1" fillId="6" borderId="3" xfId="1" applyFill="1" applyBorder="1" applyAlignment="1" applyProtection="1">
      <alignment horizontal="center"/>
      <protection locked="0"/>
    </xf>
    <xf numFmtId="0" fontId="1" fillId="6" borderId="4" xfId="1" applyFill="1" applyBorder="1" applyAlignment="1" applyProtection="1">
      <alignment horizontal="center"/>
      <protection locked="0"/>
    </xf>
    <xf numFmtId="0" fontId="1" fillId="6" borderId="33" xfId="1" applyFill="1" applyBorder="1" applyAlignment="1" applyProtection="1">
      <alignment horizontal="center"/>
      <protection locked="0"/>
    </xf>
    <xf numFmtId="0" fontId="1" fillId="2" borderId="32" xfId="1" applyFill="1" applyBorder="1" applyAlignment="1" applyProtection="1">
      <alignment horizontal="center"/>
      <protection locked="0"/>
    </xf>
    <xf numFmtId="0" fontId="1" fillId="2" borderId="31" xfId="1" applyFill="1" applyBorder="1" applyAlignment="1" applyProtection="1">
      <alignment horizontal="center"/>
      <protection locked="0"/>
    </xf>
    <xf numFmtId="0" fontId="1" fillId="2" borderId="43" xfId="1" applyFill="1" applyBorder="1" applyAlignment="1" applyProtection="1">
      <alignment horizontal="center"/>
      <protection locked="0"/>
    </xf>
    <xf numFmtId="0" fontId="1" fillId="7" borderId="3" xfId="1" applyFont="1" applyFill="1" applyBorder="1" applyAlignment="1" applyProtection="1">
      <alignment horizontal="center"/>
      <protection locked="0"/>
    </xf>
    <xf numFmtId="0" fontId="1" fillId="7" borderId="5" xfId="1" applyFont="1" applyFill="1" applyBorder="1" applyAlignment="1" applyProtection="1">
      <alignment horizontal="center"/>
      <protection locked="0"/>
    </xf>
    <xf numFmtId="0" fontId="1" fillId="2" borderId="3" xfId="1" applyFont="1" applyFill="1" applyBorder="1" applyAlignment="1" applyProtection="1">
      <alignment horizontal="center"/>
      <protection locked="0"/>
    </xf>
    <xf numFmtId="0" fontId="1" fillId="2" borderId="5" xfId="1" applyFont="1" applyFill="1" applyBorder="1" applyAlignment="1" applyProtection="1">
      <alignment horizontal="center"/>
      <protection locked="0"/>
    </xf>
    <xf numFmtId="0" fontId="1" fillId="6" borderId="3" xfId="1" applyFont="1" applyFill="1" applyBorder="1" applyAlignment="1" applyProtection="1">
      <alignment horizontal="center"/>
      <protection locked="0"/>
    </xf>
    <xf numFmtId="0" fontId="1" fillId="6" borderId="5" xfId="1" applyFont="1" applyFill="1" applyBorder="1" applyAlignment="1" applyProtection="1">
      <alignment horizontal="center"/>
      <protection locked="0"/>
    </xf>
    <xf numFmtId="0" fontId="1" fillId="2" borderId="32" xfId="1" applyFont="1" applyFill="1" applyBorder="1" applyAlignment="1" applyProtection="1">
      <alignment horizontal="center"/>
      <protection locked="0"/>
    </xf>
    <xf numFmtId="0" fontId="1" fillId="2" borderId="29" xfId="1" applyFont="1" applyFill="1" applyBorder="1" applyAlignment="1" applyProtection="1">
      <alignment horizontal="center"/>
      <protection locked="0"/>
    </xf>
    <xf numFmtId="0" fontId="1" fillId="7" borderId="3" xfId="1" applyFill="1" applyBorder="1" applyAlignment="1" applyProtection="1">
      <alignment horizontal="center"/>
      <protection locked="0"/>
    </xf>
    <xf numFmtId="0" fontId="1" fillId="7" borderId="4" xfId="1" applyFill="1" applyBorder="1" applyAlignment="1" applyProtection="1">
      <alignment horizontal="center"/>
      <protection locked="0"/>
    </xf>
    <xf numFmtId="0" fontId="1" fillId="7" borderId="33" xfId="1" applyFill="1" applyBorder="1" applyAlignment="1" applyProtection="1">
      <alignment horizontal="center"/>
      <protection locked="0"/>
    </xf>
    <xf numFmtId="0" fontId="1" fillId="7" borderId="5" xfId="1" applyFill="1" applyBorder="1" applyAlignment="1" applyProtection="1">
      <alignment horizontal="center"/>
      <protection locked="0"/>
    </xf>
    <xf numFmtId="0" fontId="1" fillId="2" borderId="5" xfId="1" applyFill="1" applyBorder="1" applyAlignment="1" applyProtection="1">
      <alignment horizontal="center"/>
      <protection locked="0"/>
    </xf>
    <xf numFmtId="0" fontId="1" fillId="6" borderId="5" xfId="1" applyFill="1" applyBorder="1" applyAlignment="1" applyProtection="1">
      <alignment horizontal="center"/>
      <protection locked="0"/>
    </xf>
    <xf numFmtId="0" fontId="1" fillId="2" borderId="29" xfId="1" applyFill="1" applyBorder="1" applyAlignment="1" applyProtection="1">
      <alignment horizontal="center"/>
      <protection locked="0"/>
    </xf>
    <xf numFmtId="0" fontId="1" fillId="2" borderId="4" xfId="1" applyFont="1" applyFill="1" applyBorder="1" applyAlignment="1" applyProtection="1">
      <alignment horizontal="center"/>
      <protection locked="0"/>
    </xf>
    <xf numFmtId="0" fontId="1" fillId="7" borderId="4" xfId="1" applyFont="1" applyFill="1" applyBorder="1" applyAlignment="1" applyProtection="1">
      <alignment horizontal="center"/>
      <protection locked="0"/>
    </xf>
    <xf numFmtId="0" fontId="1" fillId="6" borderId="4" xfId="1" applyFont="1" applyFill="1" applyBorder="1" applyAlignment="1" applyProtection="1">
      <alignment horizontal="center"/>
      <protection locked="0"/>
    </xf>
    <xf numFmtId="0" fontId="1" fillId="2" borderId="31" xfId="1" applyFont="1" applyFill="1" applyBorder="1" applyAlignment="1" applyProtection="1">
      <alignment horizontal="center"/>
      <protection locked="0"/>
    </xf>
    <xf numFmtId="0" fontId="18" fillId="0" borderId="19" xfId="1" applyFont="1" applyBorder="1" applyAlignment="1" applyProtection="1">
      <alignment horizontal="center" vertical="center"/>
    </xf>
    <xf numFmtId="0" fontId="18" fillId="0" borderId="0" xfId="1" applyFont="1" applyBorder="1" applyAlignment="1" applyProtection="1">
      <alignment horizontal="center" vertical="center"/>
    </xf>
    <xf numFmtId="0" fontId="1" fillId="7" borderId="30" xfId="1" applyFont="1" applyFill="1" applyBorder="1" applyAlignment="1" applyProtection="1">
      <alignment horizontal="center"/>
      <protection locked="0"/>
    </xf>
    <xf numFmtId="0" fontId="1" fillId="2" borderId="3" xfId="1" applyFont="1" applyFill="1" applyBorder="1" applyAlignment="1" applyProtection="1">
      <alignment horizontal="left"/>
      <protection locked="0"/>
    </xf>
    <xf numFmtId="0" fontId="1" fillId="2" borderId="4" xfId="1" applyFont="1" applyFill="1" applyBorder="1" applyAlignment="1" applyProtection="1">
      <alignment horizontal="left"/>
      <protection locked="0"/>
    </xf>
    <xf numFmtId="0" fontId="1" fillId="2" borderId="5" xfId="1" applyFont="1" applyFill="1" applyBorder="1" applyAlignment="1" applyProtection="1">
      <alignment horizontal="left"/>
      <protection locked="0"/>
    </xf>
    <xf numFmtId="0" fontId="1" fillId="2" borderId="30" xfId="1" applyFont="1" applyFill="1" applyBorder="1" applyAlignment="1" applyProtection="1">
      <alignment horizontal="center"/>
      <protection locked="0"/>
    </xf>
    <xf numFmtId="0" fontId="1" fillId="6" borderId="30" xfId="1" applyFont="1" applyFill="1" applyBorder="1" applyAlignment="1" applyProtection="1">
      <alignment horizontal="center"/>
      <protection locked="0"/>
    </xf>
    <xf numFmtId="0" fontId="1" fillId="2" borderId="28" xfId="1" applyFont="1" applyFill="1" applyBorder="1" applyAlignment="1" applyProtection="1">
      <alignment horizontal="center"/>
      <protection locked="0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5" xfId="1" applyFont="1" applyFill="1" applyBorder="1" applyAlignment="1" applyProtection="1">
      <alignment horizontal="center"/>
    </xf>
    <xf numFmtId="0" fontId="3" fillId="0" borderId="0" xfId="1" applyFont="1" applyBorder="1" applyAlignment="1" applyProtection="1">
      <alignment horizontal="left" vertical="center"/>
    </xf>
    <xf numFmtId="0" fontId="3" fillId="0" borderId="2" xfId="1" applyFont="1" applyBorder="1" applyAlignment="1" applyProtection="1">
      <alignment horizontal="left" vertical="center"/>
    </xf>
    <xf numFmtId="0" fontId="18" fillId="0" borderId="16" xfId="1" applyFont="1" applyBorder="1" applyAlignment="1" applyProtection="1">
      <alignment horizontal="center" vertical="center"/>
    </xf>
    <xf numFmtId="0" fontId="1" fillId="2" borderId="3" xfId="1" applyFill="1" applyBorder="1" applyAlignment="1" applyProtection="1">
      <alignment horizontal="left"/>
      <protection locked="0"/>
    </xf>
    <xf numFmtId="0" fontId="1" fillId="2" borderId="4" xfId="1" applyFill="1" applyBorder="1" applyAlignment="1" applyProtection="1">
      <alignment horizontal="left"/>
      <protection locked="0"/>
    </xf>
    <xf numFmtId="0" fontId="1" fillId="2" borderId="5" xfId="1" applyFill="1" applyBorder="1" applyAlignment="1" applyProtection="1">
      <alignment horizontal="left"/>
      <protection locked="0"/>
    </xf>
    <xf numFmtId="0" fontId="3" fillId="0" borderId="3" xfId="1" applyFont="1" applyBorder="1" applyAlignment="1" applyProtection="1">
      <alignment horizontal="left"/>
    </xf>
    <xf numFmtId="0" fontId="3" fillId="0" borderId="4" xfId="1" applyFont="1" applyBorder="1" applyAlignment="1" applyProtection="1">
      <alignment horizontal="left"/>
    </xf>
    <xf numFmtId="0" fontId="3" fillId="0" borderId="5" xfId="1" applyFont="1" applyBorder="1" applyAlignment="1" applyProtection="1">
      <alignment horizontal="left"/>
    </xf>
    <xf numFmtId="0" fontId="3" fillId="7" borderId="3" xfId="1" applyFont="1" applyFill="1" applyBorder="1" applyAlignment="1" applyProtection="1">
      <alignment horizontal="left" wrapText="1"/>
      <protection locked="0"/>
    </xf>
    <xf numFmtId="0" fontId="3" fillId="7" borderId="4" xfId="1" applyFont="1" applyFill="1" applyBorder="1" applyAlignment="1" applyProtection="1">
      <alignment horizontal="left" wrapText="1"/>
      <protection locked="0"/>
    </xf>
    <xf numFmtId="0" fontId="3" fillId="7" borderId="5" xfId="1" applyFont="1" applyFill="1" applyBorder="1" applyAlignment="1" applyProtection="1">
      <alignment horizontal="left" wrapText="1"/>
      <protection locked="0"/>
    </xf>
    <xf numFmtId="0" fontId="3" fillId="2" borderId="3" xfId="1" applyFont="1" applyFill="1" applyBorder="1" applyAlignment="1" applyProtection="1">
      <alignment horizontal="left" wrapText="1"/>
      <protection locked="0"/>
    </xf>
    <xf numFmtId="0" fontId="3" fillId="2" borderId="4" xfId="1" applyFont="1" applyFill="1" applyBorder="1" applyAlignment="1" applyProtection="1">
      <alignment horizontal="left" wrapText="1"/>
      <protection locked="0"/>
    </xf>
    <xf numFmtId="0" fontId="3" fillId="2" borderId="5" xfId="1" applyFont="1" applyFill="1" applyBorder="1" applyAlignment="1" applyProtection="1">
      <alignment horizontal="left" wrapText="1"/>
      <protection locked="0"/>
    </xf>
    <xf numFmtId="0" fontId="3" fillId="0" borderId="3" xfId="1" applyFont="1" applyBorder="1" applyAlignment="1" applyProtection="1">
      <alignment horizontal="center"/>
    </xf>
    <xf numFmtId="0" fontId="3" fillId="0" borderId="4" xfId="1" applyFont="1" applyBorder="1" applyAlignment="1" applyProtection="1">
      <alignment horizontal="center"/>
    </xf>
    <xf numFmtId="0" fontId="3" fillId="0" borderId="5" xfId="1" applyFont="1" applyBorder="1" applyAlignment="1" applyProtection="1">
      <alignment horizontal="center"/>
    </xf>
    <xf numFmtId="0" fontId="4" fillId="0" borderId="0" xfId="1" applyFont="1" applyAlignment="1" applyProtection="1">
      <alignment horizontal="center"/>
    </xf>
    <xf numFmtId="0" fontId="1" fillId="0" borderId="0" xfId="1" applyAlignment="1" applyProtection="1">
      <alignment horizontal="center"/>
    </xf>
    <xf numFmtId="0" fontId="5" fillId="0" borderId="4" xfId="1" applyFont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left"/>
    </xf>
    <xf numFmtId="0" fontId="3" fillId="2" borderId="4" xfId="1" applyFont="1" applyFill="1" applyBorder="1" applyAlignment="1" applyProtection="1">
      <alignment horizontal="left"/>
    </xf>
    <xf numFmtId="0" fontId="3" fillId="2" borderId="5" xfId="1" applyFont="1" applyFill="1" applyBorder="1" applyAlignment="1" applyProtection="1">
      <alignment horizontal="left"/>
    </xf>
    <xf numFmtId="0" fontId="3" fillId="0" borderId="11" xfId="1" applyFont="1" applyBorder="1" applyAlignment="1" applyProtection="1">
      <alignment horizontal="left" vertical="top"/>
    </xf>
    <xf numFmtId="0" fontId="3" fillId="0" borderId="9" xfId="1" applyFont="1" applyBorder="1" applyAlignment="1" applyProtection="1">
      <alignment horizontal="left" vertical="top"/>
    </xf>
    <xf numFmtId="0" fontId="3" fillId="0" borderId="40" xfId="1" applyFont="1" applyBorder="1" applyAlignment="1" applyProtection="1">
      <alignment horizontal="center"/>
    </xf>
    <xf numFmtId="0" fontId="3" fillId="0" borderId="39" xfId="1" applyFont="1" applyBorder="1" applyAlignment="1" applyProtection="1">
      <alignment horizontal="center"/>
    </xf>
    <xf numFmtId="0" fontId="5" fillId="2" borderId="4" xfId="1" applyFont="1" applyFill="1" applyBorder="1" applyAlignment="1" applyProtection="1">
      <alignment horizontal="right"/>
    </xf>
    <xf numFmtId="0" fontId="5" fillId="2" borderId="5" xfId="1" applyFont="1" applyFill="1" applyBorder="1" applyAlignment="1" applyProtection="1">
      <alignment horizontal="right"/>
    </xf>
    <xf numFmtId="0" fontId="3" fillId="7" borderId="3" xfId="1" applyFont="1" applyFill="1" applyBorder="1" applyAlignment="1" applyProtection="1">
      <alignment horizontal="left"/>
      <protection locked="0"/>
    </xf>
    <xf numFmtId="0" fontId="3" fillId="7" borderId="4" xfId="1" applyFont="1" applyFill="1" applyBorder="1" applyAlignment="1" applyProtection="1">
      <alignment horizontal="left"/>
      <protection locked="0"/>
    </xf>
    <xf numFmtId="0" fontId="3" fillId="7" borderId="5" xfId="1" applyFont="1" applyFill="1" applyBorder="1" applyAlignment="1" applyProtection="1">
      <alignment horizontal="left"/>
      <protection locked="0"/>
    </xf>
    <xf numFmtId="0" fontId="1" fillId="7" borderId="3" xfId="1" applyFill="1" applyBorder="1" applyAlignment="1" applyProtection="1">
      <alignment horizontal="left"/>
      <protection locked="0"/>
    </xf>
    <xf numFmtId="0" fontId="1" fillId="7" borderId="4" xfId="1" applyFill="1" applyBorder="1" applyAlignment="1" applyProtection="1">
      <alignment horizontal="left"/>
      <protection locked="0"/>
    </xf>
    <xf numFmtId="0" fontId="1" fillId="7" borderId="5" xfId="1" applyFill="1" applyBorder="1" applyAlignment="1" applyProtection="1">
      <alignment horizontal="left"/>
      <protection locked="0"/>
    </xf>
    <xf numFmtId="0" fontId="3" fillId="2" borderId="3" xfId="1" applyFont="1" applyFill="1" applyBorder="1" applyAlignment="1" applyProtection="1">
      <alignment horizontal="left"/>
      <protection locked="0"/>
    </xf>
    <xf numFmtId="0" fontId="3" fillId="2" borderId="4" xfId="1" applyFont="1" applyFill="1" applyBorder="1" applyAlignment="1" applyProtection="1">
      <alignment horizontal="left"/>
      <protection locked="0"/>
    </xf>
    <xf numFmtId="0" fontId="3" fillId="2" borderId="5" xfId="1" applyFont="1" applyFill="1" applyBorder="1" applyAlignment="1" applyProtection="1">
      <alignment horizontal="left"/>
      <protection locked="0"/>
    </xf>
    <xf numFmtId="0" fontId="1" fillId="0" borderId="26" xfId="1" applyBorder="1" applyAlignment="1" applyProtection="1">
      <alignment horizontal="center"/>
    </xf>
    <xf numFmtId="0" fontId="1" fillId="2" borderId="17" xfId="1" applyFill="1" applyBorder="1" applyAlignment="1" applyProtection="1">
      <alignment horizontal="center"/>
    </xf>
    <xf numFmtId="0" fontId="1" fillId="2" borderId="25" xfId="1" applyFill="1" applyBorder="1" applyAlignment="1" applyProtection="1">
      <alignment horizontal="center"/>
    </xf>
    <xf numFmtId="0" fontId="8" fillId="0" borderId="16" xfId="1" applyFont="1" applyBorder="1" applyAlignment="1" applyProtection="1">
      <alignment horizontal="left" wrapText="1"/>
    </xf>
    <xf numFmtId="0" fontId="1" fillId="0" borderId="16" xfId="1" applyBorder="1" applyAlignment="1" applyProtection="1">
      <alignment horizontal="left" wrapText="1"/>
    </xf>
    <xf numFmtId="0" fontId="8" fillId="0" borderId="38" xfId="1" applyFont="1" applyBorder="1" applyAlignment="1" applyProtection="1">
      <alignment horizontal="center" wrapText="1"/>
    </xf>
    <xf numFmtId="0" fontId="8" fillId="0" borderId="16" xfId="1" applyFont="1" applyBorder="1" applyAlignment="1" applyProtection="1">
      <alignment horizontal="center" wrapText="1"/>
    </xf>
    <xf numFmtId="0" fontId="18" fillId="0" borderId="11" xfId="1" applyFont="1" applyBorder="1" applyAlignment="1" applyProtection="1">
      <alignment horizontal="center" vertical="center"/>
    </xf>
    <xf numFmtId="0" fontId="18" fillId="0" borderId="7" xfId="1" applyFont="1" applyBorder="1" applyAlignment="1" applyProtection="1">
      <alignment horizontal="center" vertical="center"/>
    </xf>
    <xf numFmtId="0" fontId="18" fillId="0" borderId="9" xfId="1" applyFont="1" applyBorder="1" applyAlignment="1" applyProtection="1">
      <alignment horizontal="center" vertical="center"/>
    </xf>
    <xf numFmtId="0" fontId="1" fillId="0" borderId="41" xfId="1" applyFont="1" applyFill="1" applyBorder="1" applyAlignment="1" applyProtection="1">
      <alignment horizontal="center"/>
    </xf>
    <xf numFmtId="0" fontId="1" fillId="0" borderId="42" xfId="1" applyFont="1" applyFill="1" applyBorder="1" applyAlignment="1" applyProtection="1">
      <alignment horizontal="center"/>
    </xf>
    <xf numFmtId="0" fontId="1" fillId="0" borderId="39" xfId="1" applyFont="1" applyFill="1" applyBorder="1" applyAlignment="1" applyProtection="1">
      <alignment horizontal="center"/>
    </xf>
    <xf numFmtId="0" fontId="1" fillId="0" borderId="30" xfId="1" applyFont="1" applyFill="1" applyBorder="1" applyAlignment="1" applyProtection="1">
      <alignment horizontal="center"/>
    </xf>
  </cellXfs>
  <cellStyles count="3">
    <cellStyle name="Hyperlink" xfId="2" builtinId="8"/>
    <cellStyle name="Normal" xfId="0" builtinId="0"/>
    <cellStyle name="Normal 2" xfId="1"/>
  </cellStyles>
  <dxfs count="7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"/>
      <tableStyleElement type="headerRow" dxfId="5"/>
    </tableStyle>
  </tableStyles>
  <colors>
    <mruColors>
      <color rgb="FFCCFFFF"/>
      <color rgb="FF99FFCC"/>
      <color rgb="FF9BFFC8"/>
      <color rgb="FF0000FF"/>
      <color rgb="FF66FF99"/>
      <color rgb="FF6DFFAF"/>
      <color rgb="FFFFFF99"/>
      <color rgb="FF66FF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Label" lockText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Label" lockText="1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Label" lockText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Label" lockText="1"/>
</file>

<file path=xl/ctrlProps/ctrlProp35.xml><?xml version="1.0" encoding="utf-8"?>
<formControlPr xmlns="http://schemas.microsoft.com/office/spreadsheetml/2009/9/main" objectType="Label" lockText="1"/>
</file>

<file path=xl/ctrlProps/ctrlProp36.xml><?xml version="1.0" encoding="utf-8"?>
<formControlPr xmlns="http://schemas.microsoft.com/office/spreadsheetml/2009/9/main" objectType="Label" lockText="1"/>
</file>

<file path=xl/ctrlProps/ctrlProp37.xml><?xml version="1.0" encoding="utf-8"?>
<formControlPr xmlns="http://schemas.microsoft.com/office/spreadsheetml/2009/9/main" objectType="Label" lockText="1"/>
</file>

<file path=xl/ctrlProps/ctrlProp38.xml><?xml version="1.0" encoding="utf-8"?>
<formControlPr xmlns="http://schemas.microsoft.com/office/spreadsheetml/2009/9/main" objectType="Label" lockText="1"/>
</file>

<file path=xl/ctrlProps/ctrlProp39.xml><?xml version="1.0" encoding="utf-8"?>
<formControlPr xmlns="http://schemas.microsoft.com/office/spreadsheetml/2009/9/main" objectType="Label" lockText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Label" lockText="1"/>
</file>

<file path=xl/ctrlProps/ctrlProp43.xml><?xml version="1.0" encoding="utf-8"?>
<formControlPr xmlns="http://schemas.microsoft.com/office/spreadsheetml/2009/9/main" objectType="Label" lockText="1"/>
</file>

<file path=xl/ctrlProps/ctrlProp44.xml><?xml version="1.0" encoding="utf-8"?>
<formControlPr xmlns="http://schemas.microsoft.com/office/spreadsheetml/2009/9/main" objectType="Label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Label" lockText="1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Label" lockText="1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Label" lockText="1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Label" lockText="1"/>
</file>

<file path=xl/ctrlProps/ctrlProp72.xml><?xml version="1.0" encoding="utf-8"?>
<formControlPr xmlns="http://schemas.microsoft.com/office/spreadsheetml/2009/9/main" objectType="Label" lockText="1"/>
</file>

<file path=xl/ctrlProps/ctrlProp73.xml><?xml version="1.0" encoding="utf-8"?>
<formControlPr xmlns="http://schemas.microsoft.com/office/spreadsheetml/2009/9/main" objectType="Label" lockText="1"/>
</file>

<file path=xl/ctrlProps/ctrlProp74.xml><?xml version="1.0" encoding="utf-8"?>
<formControlPr xmlns="http://schemas.microsoft.com/office/spreadsheetml/2009/9/main" objectType="Label" lockText="1"/>
</file>

<file path=xl/ctrlProps/ctrlProp75.xml><?xml version="1.0" encoding="utf-8"?>
<formControlPr xmlns="http://schemas.microsoft.com/office/spreadsheetml/2009/9/main" objectType="Label" lockText="1"/>
</file>

<file path=xl/ctrlProps/ctrlProp76.xml><?xml version="1.0" encoding="utf-8"?>
<formControlPr xmlns="http://schemas.microsoft.com/office/spreadsheetml/2009/9/main" objectType="Label" lockText="1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Label" lockText="1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Label" lockText="1"/>
</file>

<file path=xl/ctrlProps/ctrlProp81.xml><?xml version="1.0" encoding="utf-8"?>
<formControlPr xmlns="http://schemas.microsoft.com/office/spreadsheetml/2009/9/main" objectType="Label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Label" lockText="1"/>
</file>

<file path=xl/ctrlProps/ctrlProp84.xml><?xml version="1.0" encoding="utf-8"?>
<formControlPr xmlns="http://schemas.microsoft.com/office/spreadsheetml/2009/9/main" objectType="Label" lockText="1"/>
</file>

<file path=xl/ctrlProps/ctrlProp85.xml><?xml version="1.0" encoding="utf-8"?>
<formControlPr xmlns="http://schemas.microsoft.com/office/spreadsheetml/2009/9/main" objectType="Label" lockText="1"/>
</file>

<file path=xl/ctrlProps/ctrlProp86.xml><?xml version="1.0" encoding="utf-8"?>
<formControlPr xmlns="http://schemas.microsoft.com/office/spreadsheetml/2009/9/main" objectType="Label" lockText="1"/>
</file>

<file path=xl/ctrlProps/ctrlProp87.xml><?xml version="1.0" encoding="utf-8"?>
<formControlPr xmlns="http://schemas.microsoft.com/office/spreadsheetml/2009/9/main" objectType="Label" lockText="1"/>
</file>

<file path=xl/ctrlProps/ctrlProp88.xml><?xml version="1.0" encoding="utf-8"?>
<formControlPr xmlns="http://schemas.microsoft.com/office/spreadsheetml/2009/9/main" objectType="Label" lockText="1"/>
</file>

<file path=xl/ctrlProps/ctrlProp89.xml><?xml version="1.0" encoding="utf-8"?>
<formControlPr xmlns="http://schemas.microsoft.com/office/spreadsheetml/2009/9/main" objectType="Label" lockText="1"/>
</file>

<file path=xl/ctrlProps/ctrlProp90.xml><?xml version="1.0" encoding="utf-8"?>
<formControlPr xmlns="http://schemas.microsoft.com/office/spreadsheetml/2009/9/main" objectType="Label" lockText="1"/>
</file>

<file path=xl/ctrlProps/ctrlProp91.xml><?xml version="1.0" encoding="utf-8"?>
<formControlPr xmlns="http://schemas.microsoft.com/office/spreadsheetml/2009/9/main" objectType="Label" lockText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image" Target="../media/image26.emf"/><Relationship Id="rId18" Type="http://schemas.openxmlformats.org/officeDocument/2006/relationships/image" Target="../media/image21.emf"/><Relationship Id="rId26" Type="http://schemas.openxmlformats.org/officeDocument/2006/relationships/image" Target="../media/image13.emf"/><Relationship Id="rId39" Type="http://schemas.openxmlformats.org/officeDocument/2006/relationships/image" Target="../media/image6.emf"/><Relationship Id="rId3" Type="http://schemas.openxmlformats.org/officeDocument/2006/relationships/image" Target="../media/image36.emf"/><Relationship Id="rId21" Type="http://schemas.openxmlformats.org/officeDocument/2006/relationships/image" Target="../media/image18.emf"/><Relationship Id="rId34" Type="http://schemas.openxmlformats.org/officeDocument/2006/relationships/image" Target="../media/image40.emf"/><Relationship Id="rId7" Type="http://schemas.openxmlformats.org/officeDocument/2006/relationships/image" Target="../media/image32.emf"/><Relationship Id="rId12" Type="http://schemas.openxmlformats.org/officeDocument/2006/relationships/image" Target="../media/image27.emf"/><Relationship Id="rId17" Type="http://schemas.openxmlformats.org/officeDocument/2006/relationships/image" Target="../media/image22.emf"/><Relationship Id="rId25" Type="http://schemas.openxmlformats.org/officeDocument/2006/relationships/image" Target="../media/image14.emf"/><Relationship Id="rId33" Type="http://schemas.openxmlformats.org/officeDocument/2006/relationships/image" Target="../media/image41.emf"/><Relationship Id="rId38" Type="http://schemas.openxmlformats.org/officeDocument/2006/relationships/image" Target="../media/image5.emf"/><Relationship Id="rId2" Type="http://schemas.openxmlformats.org/officeDocument/2006/relationships/image" Target="../media/image37.emf"/><Relationship Id="rId16" Type="http://schemas.openxmlformats.org/officeDocument/2006/relationships/image" Target="../media/image23.emf"/><Relationship Id="rId20" Type="http://schemas.openxmlformats.org/officeDocument/2006/relationships/image" Target="../media/image19.emf"/><Relationship Id="rId29" Type="http://schemas.openxmlformats.org/officeDocument/2006/relationships/image" Target="../media/image10.emf"/><Relationship Id="rId1" Type="http://schemas.openxmlformats.org/officeDocument/2006/relationships/image" Target="../media/image38.emf"/><Relationship Id="rId6" Type="http://schemas.openxmlformats.org/officeDocument/2006/relationships/image" Target="../media/image33.emf"/><Relationship Id="rId11" Type="http://schemas.openxmlformats.org/officeDocument/2006/relationships/image" Target="../media/image28.emf"/><Relationship Id="rId24" Type="http://schemas.openxmlformats.org/officeDocument/2006/relationships/image" Target="../media/image15.emf"/><Relationship Id="rId32" Type="http://schemas.openxmlformats.org/officeDocument/2006/relationships/image" Target="../media/image2.emf"/><Relationship Id="rId37" Type="http://schemas.openxmlformats.org/officeDocument/2006/relationships/image" Target="../media/image4.emf"/><Relationship Id="rId40" Type="http://schemas.openxmlformats.org/officeDocument/2006/relationships/image" Target="../media/image7.emf"/><Relationship Id="rId5" Type="http://schemas.openxmlformats.org/officeDocument/2006/relationships/image" Target="../media/image34.emf"/><Relationship Id="rId15" Type="http://schemas.openxmlformats.org/officeDocument/2006/relationships/image" Target="../media/image24.emf"/><Relationship Id="rId23" Type="http://schemas.openxmlformats.org/officeDocument/2006/relationships/image" Target="../media/image16.emf"/><Relationship Id="rId28" Type="http://schemas.openxmlformats.org/officeDocument/2006/relationships/image" Target="../media/image11.emf"/><Relationship Id="rId36" Type="http://schemas.openxmlformats.org/officeDocument/2006/relationships/image" Target="../media/image3.emf"/><Relationship Id="rId10" Type="http://schemas.openxmlformats.org/officeDocument/2006/relationships/image" Target="../media/image29.emf"/><Relationship Id="rId19" Type="http://schemas.openxmlformats.org/officeDocument/2006/relationships/image" Target="../media/image20.emf"/><Relationship Id="rId31" Type="http://schemas.openxmlformats.org/officeDocument/2006/relationships/image" Target="../media/image8.emf"/><Relationship Id="rId4" Type="http://schemas.openxmlformats.org/officeDocument/2006/relationships/image" Target="../media/image35.emf"/><Relationship Id="rId9" Type="http://schemas.openxmlformats.org/officeDocument/2006/relationships/image" Target="../media/image30.emf"/><Relationship Id="rId14" Type="http://schemas.openxmlformats.org/officeDocument/2006/relationships/image" Target="../media/image25.emf"/><Relationship Id="rId22" Type="http://schemas.openxmlformats.org/officeDocument/2006/relationships/image" Target="../media/image17.emf"/><Relationship Id="rId27" Type="http://schemas.openxmlformats.org/officeDocument/2006/relationships/image" Target="../media/image12.emf"/><Relationship Id="rId30" Type="http://schemas.openxmlformats.org/officeDocument/2006/relationships/image" Target="../media/image9.emf"/><Relationship Id="rId35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42334</xdr:colOff>
      <xdr:row>0</xdr:row>
      <xdr:rowOff>121710</xdr:rowOff>
    </xdr:from>
    <xdr:to>
      <xdr:col>8</xdr:col>
      <xdr:colOff>1005417</xdr:colOff>
      <xdr:row>7</xdr:row>
      <xdr:rowOff>10585</xdr:rowOff>
    </xdr:to>
    <xdr:sp macro="[0]!Create_Record" textlink="">
      <xdr:nvSpPr>
        <xdr:cNvPr id="2" name="Rounded Rectangle 1"/>
        <xdr:cNvSpPr/>
      </xdr:nvSpPr>
      <xdr:spPr>
        <a:xfrm>
          <a:off x="1871134" y="121710"/>
          <a:ext cx="3611033" cy="1222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Create Therapy Log</a:t>
          </a:r>
        </a:p>
      </xdr:txBody>
    </xdr:sp>
    <xdr:clientData fLocksWithSheet="0"/>
  </xdr:twoCellAnchor>
  <xdr:oneCellAnchor>
    <xdr:from>
      <xdr:col>0</xdr:col>
      <xdr:colOff>0</xdr:colOff>
      <xdr:row>0</xdr:row>
      <xdr:rowOff>0</xdr:rowOff>
    </xdr:from>
    <xdr:ext cx="8170370" cy="4304762"/>
    <xdr:pic macro="[0]!Picture3_Click"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70370" cy="430476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7</xdr:row>
          <xdr:rowOff>9525</xdr:rowOff>
        </xdr:from>
        <xdr:to>
          <xdr:col>31</xdr:col>
          <xdr:colOff>209550</xdr:colOff>
          <xdr:row>7</xdr:row>
          <xdr:rowOff>152400</xdr:rowOff>
        </xdr:to>
        <xdr:sp macro="" textlink="">
          <xdr:nvSpPr>
            <xdr:cNvPr id="2402" name="CheckBox36" hidden="1">
              <a:extLst>
                <a:ext uri="{63B3BB69-23CF-44E3-9099-C40C66FF867C}">
                  <a14:compatExt spid="_x0000_s2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57150</xdr:colOff>
          <xdr:row>7</xdr:row>
          <xdr:rowOff>9525</xdr:rowOff>
        </xdr:from>
        <xdr:to>
          <xdr:col>30</xdr:col>
          <xdr:colOff>209550</xdr:colOff>
          <xdr:row>7</xdr:row>
          <xdr:rowOff>152400</xdr:rowOff>
        </xdr:to>
        <xdr:sp macro="" textlink="">
          <xdr:nvSpPr>
            <xdr:cNvPr id="2401" name="CheckBox35" hidden="1">
              <a:extLst>
                <a:ext uri="{63B3BB69-23CF-44E3-9099-C40C66FF867C}">
                  <a14:compatExt spid="_x0000_s2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9525</xdr:rowOff>
        </xdr:from>
        <xdr:to>
          <xdr:col>29</xdr:col>
          <xdr:colOff>209550</xdr:colOff>
          <xdr:row>7</xdr:row>
          <xdr:rowOff>152400</xdr:rowOff>
        </xdr:to>
        <xdr:sp macro="" textlink="">
          <xdr:nvSpPr>
            <xdr:cNvPr id="2400" name="CheckBox34" hidden="1">
              <a:extLst>
                <a:ext uri="{63B3BB69-23CF-44E3-9099-C40C66FF867C}">
                  <a14:compatExt spid="_x0000_s2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</xdr:colOff>
          <xdr:row>7</xdr:row>
          <xdr:rowOff>9525</xdr:rowOff>
        </xdr:from>
        <xdr:to>
          <xdr:col>28</xdr:col>
          <xdr:colOff>209550</xdr:colOff>
          <xdr:row>7</xdr:row>
          <xdr:rowOff>152400</xdr:rowOff>
        </xdr:to>
        <xdr:sp macro="" textlink="">
          <xdr:nvSpPr>
            <xdr:cNvPr id="2399" name="CheckBox33" hidden="1">
              <a:extLst>
                <a:ext uri="{63B3BB69-23CF-44E3-9099-C40C66FF867C}">
                  <a14:compatExt spid="_x0000_s2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7</xdr:row>
          <xdr:rowOff>9525</xdr:rowOff>
        </xdr:from>
        <xdr:to>
          <xdr:col>27</xdr:col>
          <xdr:colOff>209550</xdr:colOff>
          <xdr:row>7</xdr:row>
          <xdr:rowOff>152400</xdr:rowOff>
        </xdr:to>
        <xdr:sp macro="" textlink="">
          <xdr:nvSpPr>
            <xdr:cNvPr id="2398" name="CheckBox32" hidden="1">
              <a:extLst>
                <a:ext uri="{63B3BB69-23CF-44E3-9099-C40C66FF867C}">
                  <a14:compatExt spid="_x0000_s2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7</xdr:row>
          <xdr:rowOff>9525</xdr:rowOff>
        </xdr:from>
        <xdr:to>
          <xdr:col>26</xdr:col>
          <xdr:colOff>209550</xdr:colOff>
          <xdr:row>7</xdr:row>
          <xdr:rowOff>152400</xdr:rowOff>
        </xdr:to>
        <xdr:sp macro="" textlink="">
          <xdr:nvSpPr>
            <xdr:cNvPr id="2397" name="CheckBox31" hidden="1">
              <a:extLst>
                <a:ext uri="{63B3BB69-23CF-44E3-9099-C40C66FF867C}">
                  <a14:compatExt spid="_x0000_s2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7</xdr:row>
          <xdr:rowOff>9525</xdr:rowOff>
        </xdr:from>
        <xdr:to>
          <xdr:col>25</xdr:col>
          <xdr:colOff>209550</xdr:colOff>
          <xdr:row>7</xdr:row>
          <xdr:rowOff>152400</xdr:rowOff>
        </xdr:to>
        <xdr:sp macro="" textlink="">
          <xdr:nvSpPr>
            <xdr:cNvPr id="2396" name="CheckBox30" hidden="1">
              <a:extLst>
                <a:ext uri="{63B3BB69-23CF-44E3-9099-C40C66FF867C}">
                  <a14:compatExt spid="_x0000_s2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7</xdr:row>
          <xdr:rowOff>9525</xdr:rowOff>
        </xdr:from>
        <xdr:to>
          <xdr:col>24</xdr:col>
          <xdr:colOff>209550</xdr:colOff>
          <xdr:row>7</xdr:row>
          <xdr:rowOff>152400</xdr:rowOff>
        </xdr:to>
        <xdr:sp macro="" textlink="">
          <xdr:nvSpPr>
            <xdr:cNvPr id="2395" name="CheckBox29" hidden="1">
              <a:extLst>
                <a:ext uri="{63B3BB69-23CF-44E3-9099-C40C66FF867C}">
                  <a14:compatExt spid="_x0000_s2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57150</xdr:colOff>
          <xdr:row>7</xdr:row>
          <xdr:rowOff>9525</xdr:rowOff>
        </xdr:from>
        <xdr:to>
          <xdr:col>23</xdr:col>
          <xdr:colOff>209550</xdr:colOff>
          <xdr:row>7</xdr:row>
          <xdr:rowOff>152400</xdr:rowOff>
        </xdr:to>
        <xdr:sp macro="" textlink="">
          <xdr:nvSpPr>
            <xdr:cNvPr id="2394" name="CheckBox28" hidden="1">
              <a:extLst>
                <a:ext uri="{63B3BB69-23CF-44E3-9099-C40C66FF867C}">
                  <a14:compatExt spid="_x0000_s2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7</xdr:row>
          <xdr:rowOff>9525</xdr:rowOff>
        </xdr:from>
        <xdr:to>
          <xdr:col>22</xdr:col>
          <xdr:colOff>209550</xdr:colOff>
          <xdr:row>7</xdr:row>
          <xdr:rowOff>152400</xdr:rowOff>
        </xdr:to>
        <xdr:sp macro="" textlink="">
          <xdr:nvSpPr>
            <xdr:cNvPr id="2393" name="CheckBox27" hidden="1">
              <a:extLst>
                <a:ext uri="{63B3BB69-23CF-44E3-9099-C40C66FF867C}">
                  <a14:compatExt spid="_x0000_s2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7</xdr:row>
          <xdr:rowOff>9525</xdr:rowOff>
        </xdr:from>
        <xdr:to>
          <xdr:col>21</xdr:col>
          <xdr:colOff>209550</xdr:colOff>
          <xdr:row>7</xdr:row>
          <xdr:rowOff>152400</xdr:rowOff>
        </xdr:to>
        <xdr:sp macro="" textlink="">
          <xdr:nvSpPr>
            <xdr:cNvPr id="2392" name="CheckBox26" hidden="1">
              <a:extLst>
                <a:ext uri="{63B3BB69-23CF-44E3-9099-C40C66FF867C}">
                  <a14:compatExt spid="_x0000_s2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7</xdr:row>
          <xdr:rowOff>9525</xdr:rowOff>
        </xdr:from>
        <xdr:to>
          <xdr:col>20</xdr:col>
          <xdr:colOff>209550</xdr:colOff>
          <xdr:row>7</xdr:row>
          <xdr:rowOff>152400</xdr:rowOff>
        </xdr:to>
        <xdr:sp macro="" textlink="">
          <xdr:nvSpPr>
            <xdr:cNvPr id="2391" name="CheckBox25" hidden="1">
              <a:extLst>
                <a:ext uri="{63B3BB69-23CF-44E3-9099-C40C66FF867C}">
                  <a14:compatExt spid="_x0000_s2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7</xdr:row>
          <xdr:rowOff>9525</xdr:rowOff>
        </xdr:from>
        <xdr:to>
          <xdr:col>19</xdr:col>
          <xdr:colOff>209550</xdr:colOff>
          <xdr:row>7</xdr:row>
          <xdr:rowOff>152400</xdr:rowOff>
        </xdr:to>
        <xdr:sp macro="" textlink="">
          <xdr:nvSpPr>
            <xdr:cNvPr id="2390" name="CheckBox24" hidden="1">
              <a:extLst>
                <a:ext uri="{63B3BB69-23CF-44E3-9099-C40C66FF867C}">
                  <a14:compatExt spid="_x0000_s2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7</xdr:row>
          <xdr:rowOff>9525</xdr:rowOff>
        </xdr:from>
        <xdr:to>
          <xdr:col>18</xdr:col>
          <xdr:colOff>209550</xdr:colOff>
          <xdr:row>7</xdr:row>
          <xdr:rowOff>152400</xdr:rowOff>
        </xdr:to>
        <xdr:sp macro="" textlink="">
          <xdr:nvSpPr>
            <xdr:cNvPr id="2389" name="CheckBox23" hidden="1">
              <a:extLst>
                <a:ext uri="{63B3BB69-23CF-44E3-9099-C40C66FF867C}">
                  <a14:compatExt spid="_x0000_s2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7</xdr:row>
          <xdr:rowOff>9525</xdr:rowOff>
        </xdr:from>
        <xdr:to>
          <xdr:col>17</xdr:col>
          <xdr:colOff>209550</xdr:colOff>
          <xdr:row>7</xdr:row>
          <xdr:rowOff>152400</xdr:rowOff>
        </xdr:to>
        <xdr:sp macro="" textlink="">
          <xdr:nvSpPr>
            <xdr:cNvPr id="2388" name="CheckBox22" hidden="1">
              <a:extLst>
                <a:ext uri="{63B3BB69-23CF-44E3-9099-C40C66FF867C}">
                  <a14:compatExt spid="_x0000_s2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7</xdr:row>
          <xdr:rowOff>9525</xdr:rowOff>
        </xdr:from>
        <xdr:to>
          <xdr:col>16</xdr:col>
          <xdr:colOff>209550</xdr:colOff>
          <xdr:row>7</xdr:row>
          <xdr:rowOff>152400</xdr:rowOff>
        </xdr:to>
        <xdr:sp macro="" textlink="">
          <xdr:nvSpPr>
            <xdr:cNvPr id="2387" name="CheckBox21" hidden="1">
              <a:extLst>
                <a:ext uri="{63B3BB69-23CF-44E3-9099-C40C66FF867C}">
                  <a14:compatExt spid="_x0000_s2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7</xdr:row>
          <xdr:rowOff>9525</xdr:rowOff>
        </xdr:from>
        <xdr:to>
          <xdr:col>15</xdr:col>
          <xdr:colOff>209550</xdr:colOff>
          <xdr:row>7</xdr:row>
          <xdr:rowOff>152400</xdr:rowOff>
        </xdr:to>
        <xdr:sp macro="" textlink="">
          <xdr:nvSpPr>
            <xdr:cNvPr id="2386" name="CheckBox20" hidden="1">
              <a:extLst>
                <a:ext uri="{63B3BB69-23CF-44E3-9099-C40C66FF867C}">
                  <a14:compatExt spid="_x0000_s2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7</xdr:row>
          <xdr:rowOff>9525</xdr:rowOff>
        </xdr:from>
        <xdr:to>
          <xdr:col>14</xdr:col>
          <xdr:colOff>209550</xdr:colOff>
          <xdr:row>7</xdr:row>
          <xdr:rowOff>152400</xdr:rowOff>
        </xdr:to>
        <xdr:sp macro="" textlink="">
          <xdr:nvSpPr>
            <xdr:cNvPr id="2385" name="CheckBox19" hidden="1">
              <a:extLst>
                <a:ext uri="{63B3BB69-23CF-44E3-9099-C40C66FF867C}">
                  <a14:compatExt spid="_x0000_s2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7</xdr:row>
          <xdr:rowOff>9525</xdr:rowOff>
        </xdr:from>
        <xdr:to>
          <xdr:col>13</xdr:col>
          <xdr:colOff>209550</xdr:colOff>
          <xdr:row>7</xdr:row>
          <xdr:rowOff>152400</xdr:rowOff>
        </xdr:to>
        <xdr:sp macro="" textlink="">
          <xdr:nvSpPr>
            <xdr:cNvPr id="2384" name="CheckBox18" hidden="1">
              <a:extLst>
                <a:ext uri="{63B3BB69-23CF-44E3-9099-C40C66FF867C}">
                  <a14:compatExt spid="_x0000_s2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7</xdr:row>
          <xdr:rowOff>9525</xdr:rowOff>
        </xdr:from>
        <xdr:to>
          <xdr:col>12</xdr:col>
          <xdr:colOff>209550</xdr:colOff>
          <xdr:row>7</xdr:row>
          <xdr:rowOff>152400</xdr:rowOff>
        </xdr:to>
        <xdr:sp macro="" textlink="">
          <xdr:nvSpPr>
            <xdr:cNvPr id="2383" name="CheckBox17" hidden="1">
              <a:extLst>
                <a:ext uri="{63B3BB69-23CF-44E3-9099-C40C66FF867C}">
                  <a14:compatExt spid="_x0000_s2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7</xdr:row>
          <xdr:rowOff>9525</xdr:rowOff>
        </xdr:from>
        <xdr:to>
          <xdr:col>11</xdr:col>
          <xdr:colOff>209550</xdr:colOff>
          <xdr:row>7</xdr:row>
          <xdr:rowOff>152400</xdr:rowOff>
        </xdr:to>
        <xdr:sp macro="" textlink="">
          <xdr:nvSpPr>
            <xdr:cNvPr id="2382" name="CheckBox16" hidden="1">
              <a:extLst>
                <a:ext uri="{63B3BB69-23CF-44E3-9099-C40C66FF867C}">
                  <a14:compatExt spid="_x0000_s2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7</xdr:row>
          <xdr:rowOff>9525</xdr:rowOff>
        </xdr:from>
        <xdr:to>
          <xdr:col>10</xdr:col>
          <xdr:colOff>209550</xdr:colOff>
          <xdr:row>7</xdr:row>
          <xdr:rowOff>152400</xdr:rowOff>
        </xdr:to>
        <xdr:sp macro="" textlink="">
          <xdr:nvSpPr>
            <xdr:cNvPr id="2381" name="CheckBox15" hidden="1">
              <a:extLst>
                <a:ext uri="{63B3BB69-23CF-44E3-9099-C40C66FF867C}">
                  <a14:compatExt spid="_x0000_s2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7</xdr:row>
          <xdr:rowOff>9525</xdr:rowOff>
        </xdr:from>
        <xdr:to>
          <xdr:col>9</xdr:col>
          <xdr:colOff>209550</xdr:colOff>
          <xdr:row>7</xdr:row>
          <xdr:rowOff>152400</xdr:rowOff>
        </xdr:to>
        <xdr:sp macro="" textlink="">
          <xdr:nvSpPr>
            <xdr:cNvPr id="2380" name="CheckBox14" hidden="1">
              <a:extLst>
                <a:ext uri="{63B3BB69-23CF-44E3-9099-C40C66FF867C}">
                  <a14:compatExt spid="_x0000_s2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8</xdr:col>
          <xdr:colOff>209550</xdr:colOff>
          <xdr:row>7</xdr:row>
          <xdr:rowOff>152400</xdr:rowOff>
        </xdr:to>
        <xdr:sp macro="" textlink="">
          <xdr:nvSpPr>
            <xdr:cNvPr id="2379" name="CheckBox13" hidden="1">
              <a:extLst>
                <a:ext uri="{63B3BB69-23CF-44E3-9099-C40C66FF867C}">
                  <a14:compatExt spid="_x0000_s2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7</xdr:row>
          <xdr:rowOff>9525</xdr:rowOff>
        </xdr:from>
        <xdr:to>
          <xdr:col>7</xdr:col>
          <xdr:colOff>209550</xdr:colOff>
          <xdr:row>7</xdr:row>
          <xdr:rowOff>152400</xdr:rowOff>
        </xdr:to>
        <xdr:sp macro="" textlink="">
          <xdr:nvSpPr>
            <xdr:cNvPr id="2378" name="CheckBox12" hidden="1">
              <a:extLst>
                <a:ext uri="{63B3BB69-23CF-44E3-9099-C40C66FF867C}">
                  <a14:compatExt spid="_x0000_s2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</xdr:row>
          <xdr:rowOff>9525</xdr:rowOff>
        </xdr:from>
        <xdr:to>
          <xdr:col>6</xdr:col>
          <xdr:colOff>209550</xdr:colOff>
          <xdr:row>7</xdr:row>
          <xdr:rowOff>152400</xdr:rowOff>
        </xdr:to>
        <xdr:sp macro="" textlink="">
          <xdr:nvSpPr>
            <xdr:cNvPr id="2377" name="CheckBox11" hidden="1">
              <a:extLst>
                <a:ext uri="{63B3BB69-23CF-44E3-9099-C40C66FF867C}">
                  <a14:compatExt spid="_x0000_s2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9525</xdr:rowOff>
        </xdr:from>
        <xdr:to>
          <xdr:col>5</xdr:col>
          <xdr:colOff>209550</xdr:colOff>
          <xdr:row>7</xdr:row>
          <xdr:rowOff>152400</xdr:rowOff>
        </xdr:to>
        <xdr:sp macro="" textlink="">
          <xdr:nvSpPr>
            <xdr:cNvPr id="2376" name="CheckBox10" hidden="1">
              <a:extLst>
                <a:ext uri="{63B3BB69-23CF-44E3-9099-C40C66FF867C}">
                  <a14:compatExt spid="_x0000_s2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</xdr:row>
          <xdr:rowOff>9525</xdr:rowOff>
        </xdr:from>
        <xdr:to>
          <xdr:col>4</xdr:col>
          <xdr:colOff>209550</xdr:colOff>
          <xdr:row>7</xdr:row>
          <xdr:rowOff>152400</xdr:rowOff>
        </xdr:to>
        <xdr:sp macro="" textlink="">
          <xdr:nvSpPr>
            <xdr:cNvPr id="2375" name="CheckBox9" hidden="1">
              <a:extLst>
                <a:ext uri="{63B3BB69-23CF-44E3-9099-C40C66FF867C}">
                  <a14:compatExt spid="_x0000_s2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9525</xdr:rowOff>
        </xdr:from>
        <xdr:to>
          <xdr:col>3</xdr:col>
          <xdr:colOff>209550</xdr:colOff>
          <xdr:row>7</xdr:row>
          <xdr:rowOff>152400</xdr:rowOff>
        </xdr:to>
        <xdr:sp macro="" textlink="">
          <xdr:nvSpPr>
            <xdr:cNvPr id="2374" name="CheckBox8" hidden="1">
              <a:extLst>
                <a:ext uri="{63B3BB69-23CF-44E3-9099-C40C66FF867C}">
                  <a14:compatExt spid="_x0000_s2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7</xdr:row>
          <xdr:rowOff>9525</xdr:rowOff>
        </xdr:from>
        <xdr:to>
          <xdr:col>2</xdr:col>
          <xdr:colOff>209550</xdr:colOff>
          <xdr:row>7</xdr:row>
          <xdr:rowOff>152400</xdr:rowOff>
        </xdr:to>
        <xdr:sp macro="" textlink="">
          <xdr:nvSpPr>
            <xdr:cNvPr id="2373" name="CheckBox7" hidden="1">
              <a:extLst>
                <a:ext uri="{63B3BB69-23CF-44E3-9099-C40C66FF867C}">
                  <a14:compatExt spid="_x0000_s2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7</xdr:row>
          <xdr:rowOff>9525</xdr:rowOff>
        </xdr:from>
        <xdr:to>
          <xdr:col>1</xdr:col>
          <xdr:colOff>209550</xdr:colOff>
          <xdr:row>7</xdr:row>
          <xdr:rowOff>152400</xdr:rowOff>
        </xdr:to>
        <xdr:sp macro="" textlink="">
          <xdr:nvSpPr>
            <xdr:cNvPr id="2311" name="CheckBox6" hidden="1">
              <a:extLst>
                <a:ext uri="{63B3BB69-23CF-44E3-9099-C40C66FF867C}">
                  <a14:compatExt spid="_x0000_s2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5</xdr:col>
      <xdr:colOff>147204</xdr:colOff>
      <xdr:row>0</xdr:row>
      <xdr:rowOff>129886</xdr:rowOff>
    </xdr:from>
    <xdr:ext cx="357085" cy="254493"/>
    <xdr:sp macro="" textlink="">
      <xdr:nvSpPr>
        <xdr:cNvPr id="172" name="TextBox 171"/>
        <xdr:cNvSpPr txBox="1"/>
      </xdr:nvSpPr>
      <xdr:spPr>
        <a:xfrm>
          <a:off x="3109479" y="129886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180975</xdr:rowOff>
        </xdr:from>
        <xdr:to>
          <xdr:col>5</xdr:col>
          <xdr:colOff>171450</xdr:colOff>
          <xdr:row>0</xdr:row>
          <xdr:rowOff>323850</xdr:rowOff>
        </xdr:to>
        <xdr:sp macro="" textlink="">
          <xdr:nvSpPr>
            <xdr:cNvPr id="2407" name="CheckBox40" hidden="1">
              <a:extLst>
                <a:ext uri="{63B3BB69-23CF-44E3-9099-C40C66FF867C}">
                  <a14:compatExt spid="_x0000_s2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3</xdr:col>
      <xdr:colOff>51955</xdr:colOff>
      <xdr:row>0</xdr:row>
      <xdr:rowOff>121227</xdr:rowOff>
    </xdr:from>
    <xdr:ext cx="404021" cy="254493"/>
    <xdr:sp macro="" textlink="">
      <xdr:nvSpPr>
        <xdr:cNvPr id="171" name="TextBox 170"/>
        <xdr:cNvSpPr txBox="1"/>
      </xdr:nvSpPr>
      <xdr:spPr>
        <a:xfrm>
          <a:off x="2442730" y="121227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0</xdr:row>
          <xdr:rowOff>180975</xdr:rowOff>
        </xdr:from>
        <xdr:to>
          <xdr:col>3</xdr:col>
          <xdr:colOff>85725</xdr:colOff>
          <xdr:row>0</xdr:row>
          <xdr:rowOff>323850</xdr:rowOff>
        </xdr:to>
        <xdr:sp macro="" textlink="">
          <xdr:nvSpPr>
            <xdr:cNvPr id="2406" name="CheckBox39" hidden="1">
              <a:extLst>
                <a:ext uri="{63B3BB69-23CF-44E3-9099-C40C66FF867C}">
                  <a14:compatExt spid="_x0000_s2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1148042</xdr:colOff>
      <xdr:row>0</xdr:row>
      <xdr:rowOff>129885</xdr:rowOff>
    </xdr:from>
    <xdr:ext cx="357085" cy="254493"/>
    <xdr:sp macro="" textlink="">
      <xdr:nvSpPr>
        <xdr:cNvPr id="170" name="TextBox 169"/>
        <xdr:cNvSpPr txBox="1"/>
      </xdr:nvSpPr>
      <xdr:spPr>
        <a:xfrm>
          <a:off x="1148042" y="129885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0</xdr:row>
          <xdr:rowOff>180975</xdr:rowOff>
        </xdr:from>
        <xdr:to>
          <xdr:col>0</xdr:col>
          <xdr:colOff>1171575</xdr:colOff>
          <xdr:row>0</xdr:row>
          <xdr:rowOff>323850</xdr:rowOff>
        </xdr:to>
        <xdr:sp macro="" textlink="">
          <xdr:nvSpPr>
            <xdr:cNvPr id="2405" name="CheckBox38" hidden="1">
              <a:extLst>
                <a:ext uri="{63B3BB69-23CF-44E3-9099-C40C66FF867C}">
                  <a14:compatExt spid="_x0000_s2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464705</xdr:colOff>
      <xdr:row>0</xdr:row>
      <xdr:rowOff>129886</xdr:rowOff>
    </xdr:from>
    <xdr:ext cx="404021" cy="254493"/>
    <xdr:sp macro="" textlink="">
      <xdr:nvSpPr>
        <xdr:cNvPr id="169" name="TextBox 168"/>
        <xdr:cNvSpPr txBox="1"/>
      </xdr:nvSpPr>
      <xdr:spPr>
        <a:xfrm>
          <a:off x="464705" y="129886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0</xdr:row>
          <xdr:rowOff>180975</xdr:rowOff>
        </xdr:from>
        <xdr:to>
          <xdr:col>0</xdr:col>
          <xdr:colOff>495300</xdr:colOff>
          <xdr:row>0</xdr:row>
          <xdr:rowOff>323850</xdr:rowOff>
        </xdr:to>
        <xdr:sp macro="" textlink="">
          <xdr:nvSpPr>
            <xdr:cNvPr id="2404" name="CheckBox37" hidden="1">
              <a:extLst>
                <a:ext uri="{63B3BB69-23CF-44E3-9099-C40C66FF867C}">
                  <a14:compatExt spid="_x0000_s2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35</xdr:col>
      <xdr:colOff>230188</xdr:colOff>
      <xdr:row>0</xdr:row>
      <xdr:rowOff>71438</xdr:rowOff>
    </xdr:from>
    <xdr:to>
      <xdr:col>37</xdr:col>
      <xdr:colOff>289358</xdr:colOff>
      <xdr:row>2</xdr:row>
      <xdr:rowOff>147205</xdr:rowOff>
    </xdr:to>
    <xdr:sp macro="[0]!show_Hide_Checkboxes" textlink="">
      <xdr:nvSpPr>
        <xdr:cNvPr id="152" name="Rounded Rectangle 151"/>
        <xdr:cNvSpPr/>
      </xdr:nvSpPr>
      <xdr:spPr>
        <a:xfrm>
          <a:off x="12390438" y="71438"/>
          <a:ext cx="1281545" cy="528205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Show/Hide</a:t>
          </a:r>
          <a:r>
            <a:rPr lang="en-US" sz="1100" baseline="0">
              <a:solidFill>
                <a:schemeClr val="bg1"/>
              </a:solidFill>
            </a:rPr>
            <a:t> Grid Reconciling Tool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261937</xdr:colOff>
      <xdr:row>12</xdr:row>
      <xdr:rowOff>7862</xdr:rowOff>
    </xdr:from>
    <xdr:to>
      <xdr:col>37</xdr:col>
      <xdr:colOff>377507</xdr:colOff>
      <xdr:row>15</xdr:row>
      <xdr:rowOff>17387</xdr:rowOff>
    </xdr:to>
    <xdr:sp macro="[0]!Display_Treatment_Frequency" textlink="">
      <xdr:nvSpPr>
        <xdr:cNvPr id="168" name="Rounded Rectangle 167"/>
        <xdr:cNvSpPr/>
      </xdr:nvSpPr>
      <xdr:spPr>
        <a:xfrm>
          <a:off x="11199812" y="3055862"/>
          <a:ext cx="2560320" cy="914400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Daily Treatment Frequency Note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0</xdr:col>
          <xdr:colOff>219075</xdr:colOff>
          <xdr:row>1</xdr:row>
          <xdr:rowOff>190500</xdr:rowOff>
        </xdr:to>
        <xdr:sp macro="" textlink="">
          <xdr:nvSpPr>
            <xdr:cNvPr id="2049" name="Check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</xdr:row>
          <xdr:rowOff>57150</xdr:rowOff>
        </xdr:from>
        <xdr:to>
          <xdr:col>0</xdr:col>
          <xdr:colOff>942975</xdr:colOff>
          <xdr:row>2</xdr:row>
          <xdr:rowOff>0</xdr:rowOff>
        </xdr:to>
        <xdr:sp macro="" textlink="">
          <xdr:nvSpPr>
            <xdr:cNvPr id="2050" name="Check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</xdr:row>
          <xdr:rowOff>47625</xdr:rowOff>
        </xdr:from>
        <xdr:to>
          <xdr:col>2</xdr:col>
          <xdr:colOff>9525</xdr:colOff>
          <xdr:row>1</xdr:row>
          <xdr:rowOff>190500</xdr:rowOff>
        </xdr:to>
        <xdr:sp macro="" textlink="">
          <xdr:nvSpPr>
            <xdr:cNvPr id="2051" name="Check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47625</xdr:rowOff>
        </xdr:from>
        <xdr:to>
          <xdr:col>4</xdr:col>
          <xdr:colOff>228600</xdr:colOff>
          <xdr:row>1</xdr:row>
          <xdr:rowOff>190500</xdr:rowOff>
        </xdr:to>
        <xdr:sp macro="" textlink="">
          <xdr:nvSpPr>
            <xdr:cNvPr id="2052" name="Check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1</xdr:row>
          <xdr:rowOff>47625</xdr:rowOff>
        </xdr:from>
        <xdr:to>
          <xdr:col>8</xdr:col>
          <xdr:colOff>95250</xdr:colOff>
          <xdr:row>1</xdr:row>
          <xdr:rowOff>190500</xdr:rowOff>
        </xdr:to>
        <xdr:sp macro="" textlink="">
          <xdr:nvSpPr>
            <xdr:cNvPr id="2053" name="Check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30</xdr:row>
          <xdr:rowOff>0</xdr:rowOff>
        </xdr:from>
        <xdr:to>
          <xdr:col>2</xdr:col>
          <xdr:colOff>19050</xdr:colOff>
          <xdr:row>30</xdr:row>
          <xdr:rowOff>295275</xdr:rowOff>
        </xdr:to>
        <xdr:sp macro="" textlink="">
          <xdr:nvSpPr>
            <xdr:cNvPr id="2058" name="Labe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0</xdr:rowOff>
        </xdr:from>
        <xdr:to>
          <xdr:col>7</xdr:col>
          <xdr:colOff>19050</xdr:colOff>
          <xdr:row>31</xdr:row>
          <xdr:rowOff>295275</xdr:rowOff>
        </xdr:to>
        <xdr:sp macro="" textlink="">
          <xdr:nvSpPr>
            <xdr:cNvPr id="2060" name="Labe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30</xdr:row>
          <xdr:rowOff>9525</xdr:rowOff>
        </xdr:from>
        <xdr:to>
          <xdr:col>3</xdr:col>
          <xdr:colOff>9525</xdr:colOff>
          <xdr:row>30</xdr:row>
          <xdr:rowOff>295275</xdr:rowOff>
        </xdr:to>
        <xdr:sp macro="" textlink="">
          <xdr:nvSpPr>
            <xdr:cNvPr id="2061" name="Label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31</xdr:row>
          <xdr:rowOff>0</xdr:rowOff>
        </xdr:from>
        <xdr:to>
          <xdr:col>3</xdr:col>
          <xdr:colOff>9525</xdr:colOff>
          <xdr:row>32</xdr:row>
          <xdr:rowOff>0</xdr:rowOff>
        </xdr:to>
        <xdr:sp macro="" textlink="">
          <xdr:nvSpPr>
            <xdr:cNvPr id="2062" name="Label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0</xdr:rowOff>
        </xdr:from>
        <xdr:to>
          <xdr:col>4</xdr:col>
          <xdr:colOff>9525</xdr:colOff>
          <xdr:row>31</xdr:row>
          <xdr:rowOff>0</xdr:rowOff>
        </xdr:to>
        <xdr:sp macro="" textlink="">
          <xdr:nvSpPr>
            <xdr:cNvPr id="2063" name="Label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0</xdr:rowOff>
        </xdr:from>
        <xdr:to>
          <xdr:col>4</xdr:col>
          <xdr:colOff>9525</xdr:colOff>
          <xdr:row>32</xdr:row>
          <xdr:rowOff>0</xdr:rowOff>
        </xdr:to>
        <xdr:sp macro="" textlink="">
          <xdr:nvSpPr>
            <xdr:cNvPr id="2064" name="Label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0</xdr:rowOff>
        </xdr:from>
        <xdr:to>
          <xdr:col>5</xdr:col>
          <xdr:colOff>9525</xdr:colOff>
          <xdr:row>31</xdr:row>
          <xdr:rowOff>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31</xdr:row>
          <xdr:rowOff>0</xdr:rowOff>
        </xdr:from>
        <xdr:to>
          <xdr:col>10</xdr:col>
          <xdr:colOff>9525</xdr:colOff>
          <xdr:row>32</xdr:row>
          <xdr:rowOff>0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0</xdr:rowOff>
        </xdr:from>
        <xdr:to>
          <xdr:col>6</xdr:col>
          <xdr:colOff>9525</xdr:colOff>
          <xdr:row>31</xdr:row>
          <xdr:rowOff>0</xdr:rowOff>
        </xdr:to>
        <xdr:sp macro="" textlink="">
          <xdr:nvSpPr>
            <xdr:cNvPr id="2127" name="Label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31</xdr:row>
          <xdr:rowOff>0</xdr:rowOff>
        </xdr:from>
        <xdr:to>
          <xdr:col>11</xdr:col>
          <xdr:colOff>9525</xdr:colOff>
          <xdr:row>32</xdr:row>
          <xdr:rowOff>0</xdr:rowOff>
        </xdr:to>
        <xdr:sp macro="" textlink="">
          <xdr:nvSpPr>
            <xdr:cNvPr id="2130" name="Label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131" name="Label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0</xdr:rowOff>
        </xdr:from>
        <xdr:to>
          <xdr:col>12</xdr:col>
          <xdr:colOff>9525</xdr:colOff>
          <xdr:row>32</xdr:row>
          <xdr:rowOff>0</xdr:rowOff>
        </xdr:to>
        <xdr:sp macro="" textlink="">
          <xdr:nvSpPr>
            <xdr:cNvPr id="2132" name="Label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0</xdr:rowOff>
        </xdr:from>
        <xdr:to>
          <xdr:col>8</xdr:col>
          <xdr:colOff>9525</xdr:colOff>
          <xdr:row>31</xdr:row>
          <xdr:rowOff>0</xdr:rowOff>
        </xdr:to>
        <xdr:sp macro="" textlink="">
          <xdr:nvSpPr>
            <xdr:cNvPr id="2133" name="Label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134" name="Label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2135" name="Label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31</xdr:row>
          <xdr:rowOff>0</xdr:rowOff>
        </xdr:from>
        <xdr:to>
          <xdr:col>14</xdr:col>
          <xdr:colOff>9525</xdr:colOff>
          <xdr:row>32</xdr:row>
          <xdr:rowOff>0</xdr:rowOff>
        </xdr:to>
        <xdr:sp macro="" textlink="">
          <xdr:nvSpPr>
            <xdr:cNvPr id="2136" name="Label 88" hidden="1">
              <a:extLst>
                <a:ext uri="{63B3BB69-23CF-44E3-9099-C40C66FF867C}">
                  <a14:compatExt spid="_x0000_s2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30</xdr:row>
          <xdr:rowOff>0</xdr:rowOff>
        </xdr:from>
        <xdr:to>
          <xdr:col>10</xdr:col>
          <xdr:colOff>9525</xdr:colOff>
          <xdr:row>31</xdr:row>
          <xdr:rowOff>0</xdr:rowOff>
        </xdr:to>
        <xdr:sp macro="" textlink="">
          <xdr:nvSpPr>
            <xdr:cNvPr id="2137" name="Label 89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0</xdr:rowOff>
        </xdr:from>
        <xdr:to>
          <xdr:col>15</xdr:col>
          <xdr:colOff>9525</xdr:colOff>
          <xdr:row>32</xdr:row>
          <xdr:rowOff>0</xdr:rowOff>
        </xdr:to>
        <xdr:sp macro="" textlink="">
          <xdr:nvSpPr>
            <xdr:cNvPr id="2138" name="Label 90" hidden="1">
              <a:extLst>
                <a:ext uri="{63B3BB69-23CF-44E3-9099-C40C66FF867C}">
                  <a14:compatExt spid="_x0000_s2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30</xdr:row>
          <xdr:rowOff>0</xdr:rowOff>
        </xdr:from>
        <xdr:to>
          <xdr:col>11</xdr:col>
          <xdr:colOff>9525</xdr:colOff>
          <xdr:row>31</xdr:row>
          <xdr:rowOff>0</xdr:rowOff>
        </xdr:to>
        <xdr:sp macro="" textlink="">
          <xdr:nvSpPr>
            <xdr:cNvPr id="2139" name="Label 91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31</xdr:row>
          <xdr:rowOff>0</xdr:rowOff>
        </xdr:from>
        <xdr:to>
          <xdr:col>16</xdr:col>
          <xdr:colOff>9525</xdr:colOff>
          <xdr:row>32</xdr:row>
          <xdr:rowOff>0</xdr:rowOff>
        </xdr:to>
        <xdr:sp macro="" textlink="">
          <xdr:nvSpPr>
            <xdr:cNvPr id="2140" name="Label 92" hidden="1">
              <a:extLst>
                <a:ext uri="{63B3BB69-23CF-44E3-9099-C40C66FF867C}">
                  <a14:compatExt spid="_x0000_s2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0</xdr:rowOff>
        </xdr:from>
        <xdr:to>
          <xdr:col>12</xdr:col>
          <xdr:colOff>9525</xdr:colOff>
          <xdr:row>31</xdr:row>
          <xdr:rowOff>0</xdr:rowOff>
        </xdr:to>
        <xdr:sp macro="" textlink="">
          <xdr:nvSpPr>
            <xdr:cNvPr id="2141" name="Label 93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31</xdr:row>
          <xdr:rowOff>0</xdr:rowOff>
        </xdr:from>
        <xdr:to>
          <xdr:col>17</xdr:col>
          <xdr:colOff>9525</xdr:colOff>
          <xdr:row>32</xdr:row>
          <xdr:rowOff>0</xdr:rowOff>
        </xdr:to>
        <xdr:sp macro="" textlink="">
          <xdr:nvSpPr>
            <xdr:cNvPr id="2142" name="Label 94" hidden="1">
              <a:extLst>
                <a:ext uri="{63B3BB69-23CF-44E3-9099-C40C66FF867C}">
                  <a14:compatExt spid="_x0000_s2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143" name="Label 95" hidden="1">
              <a:extLst>
                <a:ext uri="{63B3BB69-23CF-44E3-9099-C40C66FF867C}">
                  <a14:compatExt spid="_x0000_s2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31</xdr:row>
          <xdr:rowOff>0</xdr:rowOff>
        </xdr:from>
        <xdr:to>
          <xdr:col>18</xdr:col>
          <xdr:colOff>9525</xdr:colOff>
          <xdr:row>32</xdr:row>
          <xdr:rowOff>0</xdr:rowOff>
        </xdr:to>
        <xdr:sp macro="" textlink="">
          <xdr:nvSpPr>
            <xdr:cNvPr id="2144" name="Label 96" hidden="1">
              <a:extLst>
                <a:ext uri="{63B3BB69-23CF-44E3-9099-C40C66FF867C}">
                  <a14:compatExt spid="_x0000_s2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30</xdr:row>
          <xdr:rowOff>0</xdr:rowOff>
        </xdr:from>
        <xdr:to>
          <xdr:col>14</xdr:col>
          <xdr:colOff>9525</xdr:colOff>
          <xdr:row>31</xdr:row>
          <xdr:rowOff>0</xdr:rowOff>
        </xdr:to>
        <xdr:sp macro="" textlink="">
          <xdr:nvSpPr>
            <xdr:cNvPr id="2145" name="Label 97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0</xdr:rowOff>
        </xdr:from>
        <xdr:to>
          <xdr:col>15</xdr:col>
          <xdr:colOff>9525</xdr:colOff>
          <xdr:row>31</xdr:row>
          <xdr:rowOff>0</xdr:rowOff>
        </xdr:to>
        <xdr:sp macro="" textlink="">
          <xdr:nvSpPr>
            <xdr:cNvPr id="2147" name="Label 99" hidden="1">
              <a:extLst>
                <a:ext uri="{63B3BB69-23CF-44E3-9099-C40C66FF867C}">
                  <a14:compatExt spid="_x0000_s2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30</xdr:row>
          <xdr:rowOff>0</xdr:rowOff>
        </xdr:from>
        <xdr:to>
          <xdr:col>16</xdr:col>
          <xdr:colOff>9525</xdr:colOff>
          <xdr:row>31</xdr:row>
          <xdr:rowOff>0</xdr:rowOff>
        </xdr:to>
        <xdr:sp macro="" textlink="">
          <xdr:nvSpPr>
            <xdr:cNvPr id="2149" name="Label 101" hidden="1">
              <a:extLst>
                <a:ext uri="{63B3BB69-23CF-44E3-9099-C40C66FF867C}">
                  <a14:compatExt spid="_x0000_s2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30</xdr:row>
          <xdr:rowOff>0</xdr:rowOff>
        </xdr:from>
        <xdr:to>
          <xdr:col>17</xdr:col>
          <xdr:colOff>9525</xdr:colOff>
          <xdr:row>31</xdr:row>
          <xdr:rowOff>0</xdr:rowOff>
        </xdr:to>
        <xdr:sp macro="" textlink="">
          <xdr:nvSpPr>
            <xdr:cNvPr id="2151" name="Label 103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30</xdr:row>
          <xdr:rowOff>0</xdr:rowOff>
        </xdr:from>
        <xdr:to>
          <xdr:col>18</xdr:col>
          <xdr:colOff>9525</xdr:colOff>
          <xdr:row>31</xdr:row>
          <xdr:rowOff>0</xdr:rowOff>
        </xdr:to>
        <xdr:sp macro="" textlink="">
          <xdr:nvSpPr>
            <xdr:cNvPr id="2153" name="Label 105" hidden="1">
              <a:extLst>
                <a:ext uri="{63B3BB69-23CF-44E3-9099-C40C66FF867C}">
                  <a14:compatExt spid="_x0000_s2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30</xdr:row>
          <xdr:rowOff>0</xdr:rowOff>
        </xdr:from>
        <xdr:to>
          <xdr:col>19</xdr:col>
          <xdr:colOff>9525</xdr:colOff>
          <xdr:row>31</xdr:row>
          <xdr:rowOff>0</xdr:rowOff>
        </xdr:to>
        <xdr:sp macro="" textlink="">
          <xdr:nvSpPr>
            <xdr:cNvPr id="2155" name="Label 107" hidden="1">
              <a:extLst>
                <a:ext uri="{63B3BB69-23CF-44E3-9099-C40C66FF867C}">
                  <a14:compatExt spid="_x0000_s2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31</xdr:row>
          <xdr:rowOff>0</xdr:rowOff>
        </xdr:from>
        <xdr:to>
          <xdr:col>19</xdr:col>
          <xdr:colOff>9525</xdr:colOff>
          <xdr:row>32</xdr:row>
          <xdr:rowOff>0</xdr:rowOff>
        </xdr:to>
        <xdr:sp macro="" textlink="">
          <xdr:nvSpPr>
            <xdr:cNvPr id="2156" name="Label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0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57" name="Label 109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0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158" name="Label 110" hidden="1">
              <a:extLst>
                <a:ext uri="{63B3BB69-23CF-44E3-9099-C40C66FF867C}">
                  <a14:compatExt spid="_x0000_s2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30</xdr:row>
          <xdr:rowOff>0</xdr:rowOff>
        </xdr:from>
        <xdr:to>
          <xdr:col>21</xdr:col>
          <xdr:colOff>9525</xdr:colOff>
          <xdr:row>31</xdr:row>
          <xdr:rowOff>0</xdr:rowOff>
        </xdr:to>
        <xdr:sp macro="" textlink="">
          <xdr:nvSpPr>
            <xdr:cNvPr id="2159" name="Label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31</xdr:row>
          <xdr:rowOff>0</xdr:rowOff>
        </xdr:from>
        <xdr:to>
          <xdr:col>21</xdr:col>
          <xdr:colOff>9525</xdr:colOff>
          <xdr:row>32</xdr:row>
          <xdr:rowOff>0</xdr:rowOff>
        </xdr:to>
        <xdr:sp macro="" textlink="">
          <xdr:nvSpPr>
            <xdr:cNvPr id="2161" name="Label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0</xdr:rowOff>
        </xdr:from>
        <xdr:to>
          <xdr:col>22</xdr:col>
          <xdr:colOff>9525</xdr:colOff>
          <xdr:row>31</xdr:row>
          <xdr:rowOff>0</xdr:rowOff>
        </xdr:to>
        <xdr:sp macro="" textlink="">
          <xdr:nvSpPr>
            <xdr:cNvPr id="2162" name="Label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30</xdr:row>
          <xdr:rowOff>0</xdr:rowOff>
        </xdr:from>
        <xdr:to>
          <xdr:col>23</xdr:col>
          <xdr:colOff>9525</xdr:colOff>
          <xdr:row>31</xdr:row>
          <xdr:rowOff>0</xdr:rowOff>
        </xdr:to>
        <xdr:sp macro="" textlink="">
          <xdr:nvSpPr>
            <xdr:cNvPr id="2164" name="Label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31</xdr:row>
          <xdr:rowOff>0</xdr:rowOff>
        </xdr:from>
        <xdr:to>
          <xdr:col>23</xdr:col>
          <xdr:colOff>9525</xdr:colOff>
          <xdr:row>32</xdr:row>
          <xdr:rowOff>0</xdr:rowOff>
        </xdr:to>
        <xdr:sp macro="" textlink="">
          <xdr:nvSpPr>
            <xdr:cNvPr id="2165" name="Label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30</xdr:row>
          <xdr:rowOff>0</xdr:rowOff>
        </xdr:from>
        <xdr:to>
          <xdr:col>24</xdr:col>
          <xdr:colOff>9525</xdr:colOff>
          <xdr:row>31</xdr:row>
          <xdr:rowOff>0</xdr:rowOff>
        </xdr:to>
        <xdr:sp macro="" textlink="">
          <xdr:nvSpPr>
            <xdr:cNvPr id="2166" name="Label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30</xdr:row>
          <xdr:rowOff>0</xdr:rowOff>
        </xdr:from>
        <xdr:to>
          <xdr:col>25</xdr:col>
          <xdr:colOff>9525</xdr:colOff>
          <xdr:row>31</xdr:row>
          <xdr:rowOff>0</xdr:rowOff>
        </xdr:to>
        <xdr:sp macro="" textlink="">
          <xdr:nvSpPr>
            <xdr:cNvPr id="2168" name="Label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9525</xdr:colOff>
          <xdr:row>31</xdr:row>
          <xdr:rowOff>0</xdr:rowOff>
        </xdr:to>
        <xdr:sp macro="" textlink="">
          <xdr:nvSpPr>
            <xdr:cNvPr id="2170" name="Label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30</xdr:row>
          <xdr:rowOff>0</xdr:rowOff>
        </xdr:from>
        <xdr:to>
          <xdr:col>27</xdr:col>
          <xdr:colOff>9525</xdr:colOff>
          <xdr:row>31</xdr:row>
          <xdr:rowOff>0</xdr:rowOff>
        </xdr:to>
        <xdr:sp macro="" textlink="">
          <xdr:nvSpPr>
            <xdr:cNvPr id="2172" name="Label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0</xdr:rowOff>
        </xdr:from>
        <xdr:to>
          <xdr:col>28</xdr:col>
          <xdr:colOff>9525</xdr:colOff>
          <xdr:row>31</xdr:row>
          <xdr:rowOff>0</xdr:rowOff>
        </xdr:to>
        <xdr:sp macro="" textlink="">
          <xdr:nvSpPr>
            <xdr:cNvPr id="2174" name="Label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30</xdr:row>
          <xdr:rowOff>0</xdr:rowOff>
        </xdr:from>
        <xdr:to>
          <xdr:col>29</xdr:col>
          <xdr:colOff>9525</xdr:colOff>
          <xdr:row>31</xdr:row>
          <xdr:rowOff>0</xdr:rowOff>
        </xdr:to>
        <xdr:sp macro="" textlink="">
          <xdr:nvSpPr>
            <xdr:cNvPr id="2176" name="Label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30</xdr:row>
          <xdr:rowOff>0</xdr:rowOff>
        </xdr:from>
        <xdr:to>
          <xdr:col>30</xdr:col>
          <xdr:colOff>9525</xdr:colOff>
          <xdr:row>31</xdr:row>
          <xdr:rowOff>0</xdr:rowOff>
        </xdr:to>
        <xdr:sp macro="" textlink="">
          <xdr:nvSpPr>
            <xdr:cNvPr id="2178" name="Label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30</xdr:row>
          <xdr:rowOff>0</xdr:rowOff>
        </xdr:from>
        <xdr:to>
          <xdr:col>31</xdr:col>
          <xdr:colOff>9525</xdr:colOff>
          <xdr:row>31</xdr:row>
          <xdr:rowOff>0</xdr:rowOff>
        </xdr:to>
        <xdr:sp macro="" textlink="">
          <xdr:nvSpPr>
            <xdr:cNvPr id="2180" name="Label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29</xdr:row>
          <xdr:rowOff>304800</xdr:rowOff>
        </xdr:from>
        <xdr:to>
          <xdr:col>32</xdr:col>
          <xdr:colOff>9525</xdr:colOff>
          <xdr:row>31</xdr:row>
          <xdr:rowOff>9525</xdr:rowOff>
        </xdr:to>
        <xdr:sp macro="" textlink="">
          <xdr:nvSpPr>
            <xdr:cNvPr id="2182" name="Label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31</xdr:row>
          <xdr:rowOff>0</xdr:rowOff>
        </xdr:from>
        <xdr:to>
          <xdr:col>2</xdr:col>
          <xdr:colOff>19050</xdr:colOff>
          <xdr:row>31</xdr:row>
          <xdr:rowOff>295275</xdr:rowOff>
        </xdr:to>
        <xdr:sp macro="" textlink="">
          <xdr:nvSpPr>
            <xdr:cNvPr id="2184" name="Label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0</xdr:rowOff>
        </xdr:from>
        <xdr:to>
          <xdr:col>5</xdr:col>
          <xdr:colOff>9525</xdr:colOff>
          <xdr:row>32</xdr:row>
          <xdr:rowOff>0</xdr:rowOff>
        </xdr:to>
        <xdr:sp macro="" textlink="">
          <xdr:nvSpPr>
            <xdr:cNvPr id="2185" name="Label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31</xdr:row>
          <xdr:rowOff>0</xdr:rowOff>
        </xdr:from>
        <xdr:to>
          <xdr:col>6</xdr:col>
          <xdr:colOff>9525</xdr:colOff>
          <xdr:row>32</xdr:row>
          <xdr:rowOff>0</xdr:rowOff>
        </xdr:to>
        <xdr:sp macro="" textlink="">
          <xdr:nvSpPr>
            <xdr:cNvPr id="2186" name="Label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0</xdr:rowOff>
        </xdr:from>
        <xdr:to>
          <xdr:col>8</xdr:col>
          <xdr:colOff>9525</xdr:colOff>
          <xdr:row>32</xdr:row>
          <xdr:rowOff>0</xdr:rowOff>
        </xdr:to>
        <xdr:sp macro="" textlink="">
          <xdr:nvSpPr>
            <xdr:cNvPr id="2187" name="Label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2188" name="Label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9525</xdr:colOff>
          <xdr:row>32</xdr:row>
          <xdr:rowOff>0</xdr:rowOff>
        </xdr:to>
        <xdr:sp macro="" textlink="">
          <xdr:nvSpPr>
            <xdr:cNvPr id="2192" name="Label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31</xdr:row>
          <xdr:rowOff>0</xdr:rowOff>
        </xdr:from>
        <xdr:to>
          <xdr:col>27</xdr:col>
          <xdr:colOff>9525</xdr:colOff>
          <xdr:row>32</xdr:row>
          <xdr:rowOff>0</xdr:rowOff>
        </xdr:to>
        <xdr:sp macro="" textlink="">
          <xdr:nvSpPr>
            <xdr:cNvPr id="2194" name="Label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0</xdr:rowOff>
        </xdr:from>
        <xdr:to>
          <xdr:col>28</xdr:col>
          <xdr:colOff>9525</xdr:colOff>
          <xdr:row>32</xdr:row>
          <xdr:rowOff>0</xdr:rowOff>
        </xdr:to>
        <xdr:sp macro="" textlink="">
          <xdr:nvSpPr>
            <xdr:cNvPr id="2195" name="Label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31</xdr:row>
          <xdr:rowOff>0</xdr:rowOff>
        </xdr:from>
        <xdr:to>
          <xdr:col>29</xdr:col>
          <xdr:colOff>9525</xdr:colOff>
          <xdr:row>32</xdr:row>
          <xdr:rowOff>0</xdr:rowOff>
        </xdr:to>
        <xdr:sp macro="" textlink="">
          <xdr:nvSpPr>
            <xdr:cNvPr id="2196" name="Label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31</xdr:row>
          <xdr:rowOff>0</xdr:rowOff>
        </xdr:from>
        <xdr:to>
          <xdr:col>30</xdr:col>
          <xdr:colOff>9525</xdr:colOff>
          <xdr:row>32</xdr:row>
          <xdr:rowOff>0</xdr:rowOff>
        </xdr:to>
        <xdr:sp macro="" textlink="">
          <xdr:nvSpPr>
            <xdr:cNvPr id="2197" name="Label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31</xdr:row>
          <xdr:rowOff>0</xdr:rowOff>
        </xdr:from>
        <xdr:to>
          <xdr:col>31</xdr:col>
          <xdr:colOff>9525</xdr:colOff>
          <xdr:row>32</xdr:row>
          <xdr:rowOff>0</xdr:rowOff>
        </xdr:to>
        <xdr:sp macro="" textlink="">
          <xdr:nvSpPr>
            <xdr:cNvPr id="2198" name="Label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31</xdr:row>
          <xdr:rowOff>0</xdr:rowOff>
        </xdr:from>
        <xdr:to>
          <xdr:col>32</xdr:col>
          <xdr:colOff>9525</xdr:colOff>
          <xdr:row>32</xdr:row>
          <xdr:rowOff>0</xdr:rowOff>
        </xdr:to>
        <xdr:sp macro="" textlink="">
          <xdr:nvSpPr>
            <xdr:cNvPr id="2199" name="Label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0</xdr:rowOff>
        </xdr:from>
        <xdr:to>
          <xdr:col>22</xdr:col>
          <xdr:colOff>9525</xdr:colOff>
          <xdr:row>32</xdr:row>
          <xdr:rowOff>0</xdr:rowOff>
        </xdr:to>
        <xdr:sp macro="" textlink="">
          <xdr:nvSpPr>
            <xdr:cNvPr id="2207" name="Label 159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31</xdr:row>
          <xdr:rowOff>0</xdr:rowOff>
        </xdr:from>
        <xdr:to>
          <xdr:col>24</xdr:col>
          <xdr:colOff>9525</xdr:colOff>
          <xdr:row>32</xdr:row>
          <xdr:rowOff>0</xdr:rowOff>
        </xdr:to>
        <xdr:sp macro="" textlink="">
          <xdr:nvSpPr>
            <xdr:cNvPr id="2208" name="Label 160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31</xdr:row>
          <xdr:rowOff>0</xdr:rowOff>
        </xdr:from>
        <xdr:to>
          <xdr:col>25</xdr:col>
          <xdr:colOff>9525</xdr:colOff>
          <xdr:row>32</xdr:row>
          <xdr:rowOff>0</xdr:rowOff>
        </xdr:to>
        <xdr:sp macro="" textlink="">
          <xdr:nvSpPr>
            <xdr:cNvPr id="2209" name="Label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32</xdr:row>
          <xdr:rowOff>0</xdr:rowOff>
        </xdr:from>
        <xdr:to>
          <xdr:col>2</xdr:col>
          <xdr:colOff>19050</xdr:colOff>
          <xdr:row>32</xdr:row>
          <xdr:rowOff>295275</xdr:rowOff>
        </xdr:to>
        <xdr:sp macro="" textlink="">
          <xdr:nvSpPr>
            <xdr:cNvPr id="2276" name="Label 228" hidden="1">
              <a:extLst>
                <a:ext uri="{63B3BB69-23CF-44E3-9099-C40C66FF867C}">
                  <a14:compatExt spid="_x0000_s2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32</xdr:row>
          <xdr:rowOff>0</xdr:rowOff>
        </xdr:from>
        <xdr:to>
          <xdr:col>3</xdr:col>
          <xdr:colOff>19050</xdr:colOff>
          <xdr:row>32</xdr:row>
          <xdr:rowOff>295275</xdr:rowOff>
        </xdr:to>
        <xdr:sp macro="" textlink="">
          <xdr:nvSpPr>
            <xdr:cNvPr id="2277" name="Label 229" hidden="1">
              <a:extLst>
                <a:ext uri="{63B3BB69-23CF-44E3-9099-C40C66FF867C}">
                  <a14:compatExt spid="_x0000_s2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32</xdr:row>
          <xdr:rowOff>0</xdr:rowOff>
        </xdr:from>
        <xdr:to>
          <xdr:col>4</xdr:col>
          <xdr:colOff>19050</xdr:colOff>
          <xdr:row>32</xdr:row>
          <xdr:rowOff>295275</xdr:rowOff>
        </xdr:to>
        <xdr:sp macro="" textlink="">
          <xdr:nvSpPr>
            <xdr:cNvPr id="2279" name="Label 231" hidden="1">
              <a:extLst>
                <a:ext uri="{63B3BB69-23CF-44E3-9099-C40C66FF867C}">
                  <a14:compatExt spid="_x0000_s2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0</xdr:rowOff>
        </xdr:from>
        <xdr:to>
          <xdr:col>5</xdr:col>
          <xdr:colOff>19050</xdr:colOff>
          <xdr:row>32</xdr:row>
          <xdr:rowOff>295275</xdr:rowOff>
        </xdr:to>
        <xdr:sp macro="" textlink="">
          <xdr:nvSpPr>
            <xdr:cNvPr id="2280" name="Label 232" hidden="1">
              <a:extLst>
                <a:ext uri="{63B3BB69-23CF-44E3-9099-C40C66FF867C}">
                  <a14:compatExt spid="_x0000_s2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0</xdr:rowOff>
        </xdr:from>
        <xdr:to>
          <xdr:col>6</xdr:col>
          <xdr:colOff>19050</xdr:colOff>
          <xdr:row>32</xdr:row>
          <xdr:rowOff>295275</xdr:rowOff>
        </xdr:to>
        <xdr:sp macro="" textlink="">
          <xdr:nvSpPr>
            <xdr:cNvPr id="2281" name="Label 233" hidden="1">
              <a:extLst>
                <a:ext uri="{63B3BB69-23CF-44E3-9099-C40C66FF867C}">
                  <a14:compatExt spid="_x0000_s2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0</xdr:rowOff>
        </xdr:from>
        <xdr:to>
          <xdr:col>7</xdr:col>
          <xdr:colOff>19050</xdr:colOff>
          <xdr:row>32</xdr:row>
          <xdr:rowOff>295275</xdr:rowOff>
        </xdr:to>
        <xdr:sp macro="" textlink="">
          <xdr:nvSpPr>
            <xdr:cNvPr id="2282" name="Label 234" hidden="1">
              <a:extLst>
                <a:ext uri="{63B3BB69-23CF-44E3-9099-C40C66FF867C}">
                  <a14:compatExt spid="_x0000_s2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0</xdr:rowOff>
        </xdr:from>
        <xdr:to>
          <xdr:col>8</xdr:col>
          <xdr:colOff>19050</xdr:colOff>
          <xdr:row>32</xdr:row>
          <xdr:rowOff>295275</xdr:rowOff>
        </xdr:to>
        <xdr:sp macro="" textlink="">
          <xdr:nvSpPr>
            <xdr:cNvPr id="2283" name="Label 235" hidden="1">
              <a:extLst>
                <a:ext uri="{63B3BB69-23CF-44E3-9099-C40C66FF867C}">
                  <a14:compatExt spid="_x0000_s2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32</xdr:row>
          <xdr:rowOff>0</xdr:rowOff>
        </xdr:from>
        <xdr:to>
          <xdr:col>9</xdr:col>
          <xdr:colOff>19050</xdr:colOff>
          <xdr:row>32</xdr:row>
          <xdr:rowOff>295275</xdr:rowOff>
        </xdr:to>
        <xdr:sp macro="" textlink="">
          <xdr:nvSpPr>
            <xdr:cNvPr id="2284" name="Label 236" hidden="1">
              <a:extLst>
                <a:ext uri="{63B3BB69-23CF-44E3-9099-C40C66FF867C}">
                  <a14:compatExt spid="_x0000_s2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32</xdr:row>
          <xdr:rowOff>0</xdr:rowOff>
        </xdr:from>
        <xdr:to>
          <xdr:col>10</xdr:col>
          <xdr:colOff>19050</xdr:colOff>
          <xdr:row>32</xdr:row>
          <xdr:rowOff>295275</xdr:rowOff>
        </xdr:to>
        <xdr:sp macro="" textlink="">
          <xdr:nvSpPr>
            <xdr:cNvPr id="2285" name="Label 237" hidden="1">
              <a:extLst>
                <a:ext uri="{63B3BB69-23CF-44E3-9099-C40C66FF867C}">
                  <a14:compatExt spid="_x0000_s2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32</xdr:row>
          <xdr:rowOff>0</xdr:rowOff>
        </xdr:from>
        <xdr:to>
          <xdr:col>11</xdr:col>
          <xdr:colOff>19050</xdr:colOff>
          <xdr:row>32</xdr:row>
          <xdr:rowOff>295275</xdr:rowOff>
        </xdr:to>
        <xdr:sp macro="" textlink="">
          <xdr:nvSpPr>
            <xdr:cNvPr id="2286" name="Label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0</xdr:rowOff>
        </xdr:from>
        <xdr:to>
          <xdr:col>12</xdr:col>
          <xdr:colOff>19050</xdr:colOff>
          <xdr:row>32</xdr:row>
          <xdr:rowOff>295275</xdr:rowOff>
        </xdr:to>
        <xdr:sp macro="" textlink="">
          <xdr:nvSpPr>
            <xdr:cNvPr id="2287" name="Label 239" hidden="1">
              <a:extLst>
                <a:ext uri="{63B3BB69-23CF-44E3-9099-C40C66FF867C}">
                  <a14:compatExt spid="_x0000_s2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32</xdr:row>
          <xdr:rowOff>0</xdr:rowOff>
        </xdr:from>
        <xdr:to>
          <xdr:col>13</xdr:col>
          <xdr:colOff>19050</xdr:colOff>
          <xdr:row>32</xdr:row>
          <xdr:rowOff>295275</xdr:rowOff>
        </xdr:to>
        <xdr:sp macro="" textlink="">
          <xdr:nvSpPr>
            <xdr:cNvPr id="2289" name="Label 241" hidden="1">
              <a:extLst>
                <a:ext uri="{63B3BB69-23CF-44E3-9099-C40C66FF867C}">
                  <a14:compatExt spid="_x0000_s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0</xdr:rowOff>
        </xdr:from>
        <xdr:to>
          <xdr:col>14</xdr:col>
          <xdr:colOff>19050</xdr:colOff>
          <xdr:row>32</xdr:row>
          <xdr:rowOff>295275</xdr:rowOff>
        </xdr:to>
        <xdr:sp macro="" textlink="">
          <xdr:nvSpPr>
            <xdr:cNvPr id="2290" name="Label 242" hidden="1">
              <a:extLst>
                <a:ext uri="{63B3BB69-23CF-44E3-9099-C40C66FF867C}">
                  <a14:compatExt spid="_x0000_s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32</xdr:row>
          <xdr:rowOff>0</xdr:rowOff>
        </xdr:from>
        <xdr:to>
          <xdr:col>15</xdr:col>
          <xdr:colOff>19050</xdr:colOff>
          <xdr:row>32</xdr:row>
          <xdr:rowOff>295275</xdr:rowOff>
        </xdr:to>
        <xdr:sp macro="" textlink="">
          <xdr:nvSpPr>
            <xdr:cNvPr id="2291" name="Label 243" hidden="1">
              <a:extLst>
                <a:ext uri="{63B3BB69-23CF-44E3-9099-C40C66FF867C}">
                  <a14:compatExt spid="_x0000_s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32</xdr:row>
          <xdr:rowOff>0</xdr:rowOff>
        </xdr:from>
        <xdr:to>
          <xdr:col>16</xdr:col>
          <xdr:colOff>19050</xdr:colOff>
          <xdr:row>32</xdr:row>
          <xdr:rowOff>295275</xdr:rowOff>
        </xdr:to>
        <xdr:sp macro="" textlink="">
          <xdr:nvSpPr>
            <xdr:cNvPr id="2293" name="Label 245" hidden="1">
              <a:extLst>
                <a:ext uri="{63B3BB69-23CF-44E3-9099-C40C66FF867C}">
                  <a14:compatExt spid="_x0000_s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32</xdr:row>
          <xdr:rowOff>0</xdr:rowOff>
        </xdr:from>
        <xdr:to>
          <xdr:col>17</xdr:col>
          <xdr:colOff>19050</xdr:colOff>
          <xdr:row>32</xdr:row>
          <xdr:rowOff>295275</xdr:rowOff>
        </xdr:to>
        <xdr:sp macro="" textlink="">
          <xdr:nvSpPr>
            <xdr:cNvPr id="2295" name="Label 247" hidden="1">
              <a:extLst>
                <a:ext uri="{63B3BB69-23CF-44E3-9099-C40C66FF867C}">
                  <a14:compatExt spid="_x0000_s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32</xdr:row>
          <xdr:rowOff>0</xdr:rowOff>
        </xdr:from>
        <xdr:to>
          <xdr:col>18</xdr:col>
          <xdr:colOff>19050</xdr:colOff>
          <xdr:row>32</xdr:row>
          <xdr:rowOff>295275</xdr:rowOff>
        </xdr:to>
        <xdr:sp macro="" textlink="">
          <xdr:nvSpPr>
            <xdr:cNvPr id="2296" name="Label 248" hidden="1">
              <a:extLst>
                <a:ext uri="{63B3BB69-23CF-44E3-9099-C40C66FF867C}">
                  <a14:compatExt spid="_x0000_s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32</xdr:row>
          <xdr:rowOff>0</xdr:rowOff>
        </xdr:from>
        <xdr:to>
          <xdr:col>19</xdr:col>
          <xdr:colOff>19050</xdr:colOff>
          <xdr:row>32</xdr:row>
          <xdr:rowOff>295275</xdr:rowOff>
        </xdr:to>
        <xdr:sp macro="" textlink="">
          <xdr:nvSpPr>
            <xdr:cNvPr id="2297" name="Label 249" hidden="1">
              <a:extLst>
                <a:ext uri="{63B3BB69-23CF-44E3-9099-C40C66FF867C}">
                  <a14:compatExt spid="_x0000_s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32</xdr:row>
          <xdr:rowOff>0</xdr:rowOff>
        </xdr:from>
        <xdr:to>
          <xdr:col>20</xdr:col>
          <xdr:colOff>19050</xdr:colOff>
          <xdr:row>32</xdr:row>
          <xdr:rowOff>295275</xdr:rowOff>
        </xdr:to>
        <xdr:sp macro="" textlink="">
          <xdr:nvSpPr>
            <xdr:cNvPr id="2298" name="Label 250" hidden="1">
              <a:extLst>
                <a:ext uri="{63B3BB69-23CF-44E3-9099-C40C66FF867C}">
                  <a14:compatExt spid="_x0000_s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32</xdr:row>
          <xdr:rowOff>0</xdr:rowOff>
        </xdr:from>
        <xdr:to>
          <xdr:col>21</xdr:col>
          <xdr:colOff>19050</xdr:colOff>
          <xdr:row>32</xdr:row>
          <xdr:rowOff>295275</xdr:rowOff>
        </xdr:to>
        <xdr:sp macro="" textlink="">
          <xdr:nvSpPr>
            <xdr:cNvPr id="2299" name="Label 251" hidden="1">
              <a:extLst>
                <a:ext uri="{63B3BB69-23CF-44E3-9099-C40C66FF867C}">
                  <a14:compatExt spid="_x0000_s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32</xdr:row>
          <xdr:rowOff>0</xdr:rowOff>
        </xdr:from>
        <xdr:to>
          <xdr:col>22</xdr:col>
          <xdr:colOff>19050</xdr:colOff>
          <xdr:row>32</xdr:row>
          <xdr:rowOff>295275</xdr:rowOff>
        </xdr:to>
        <xdr:sp macro="" textlink="">
          <xdr:nvSpPr>
            <xdr:cNvPr id="2300" name="Label 252" hidden="1">
              <a:extLst>
                <a:ext uri="{63B3BB69-23CF-44E3-9099-C40C66FF867C}">
                  <a14:compatExt spid="_x0000_s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32</xdr:row>
          <xdr:rowOff>0</xdr:rowOff>
        </xdr:from>
        <xdr:to>
          <xdr:col>23</xdr:col>
          <xdr:colOff>19050</xdr:colOff>
          <xdr:row>32</xdr:row>
          <xdr:rowOff>295275</xdr:rowOff>
        </xdr:to>
        <xdr:sp macro="" textlink="">
          <xdr:nvSpPr>
            <xdr:cNvPr id="2301" name="Label 253" hidden="1">
              <a:extLst>
                <a:ext uri="{63B3BB69-23CF-44E3-9099-C40C66FF867C}">
                  <a14:compatExt spid="_x0000_s2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32</xdr:row>
          <xdr:rowOff>0</xdr:rowOff>
        </xdr:from>
        <xdr:to>
          <xdr:col>24</xdr:col>
          <xdr:colOff>19050</xdr:colOff>
          <xdr:row>32</xdr:row>
          <xdr:rowOff>295275</xdr:rowOff>
        </xdr:to>
        <xdr:sp macro="" textlink="">
          <xdr:nvSpPr>
            <xdr:cNvPr id="2302" name="Label 254" hidden="1">
              <a:extLst>
                <a:ext uri="{63B3BB69-23CF-44E3-9099-C40C66FF867C}">
                  <a14:compatExt spid="_x0000_s2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32</xdr:row>
          <xdr:rowOff>0</xdr:rowOff>
        </xdr:from>
        <xdr:to>
          <xdr:col>25</xdr:col>
          <xdr:colOff>19050</xdr:colOff>
          <xdr:row>32</xdr:row>
          <xdr:rowOff>295275</xdr:rowOff>
        </xdr:to>
        <xdr:sp macro="" textlink="">
          <xdr:nvSpPr>
            <xdr:cNvPr id="2303" name="Label 255" hidden="1">
              <a:extLst>
                <a:ext uri="{63B3BB69-23CF-44E3-9099-C40C66FF867C}">
                  <a14:compatExt spid="_x0000_s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32</xdr:row>
          <xdr:rowOff>0</xdr:rowOff>
        </xdr:from>
        <xdr:to>
          <xdr:col>26</xdr:col>
          <xdr:colOff>19050</xdr:colOff>
          <xdr:row>32</xdr:row>
          <xdr:rowOff>295275</xdr:rowOff>
        </xdr:to>
        <xdr:sp macro="" textlink="">
          <xdr:nvSpPr>
            <xdr:cNvPr id="2304" name="Label 256" hidden="1">
              <a:extLst>
                <a:ext uri="{63B3BB69-23CF-44E3-9099-C40C66FF867C}">
                  <a14:compatExt spid="_x0000_s2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32</xdr:row>
          <xdr:rowOff>0</xdr:rowOff>
        </xdr:from>
        <xdr:to>
          <xdr:col>27</xdr:col>
          <xdr:colOff>19050</xdr:colOff>
          <xdr:row>32</xdr:row>
          <xdr:rowOff>295275</xdr:rowOff>
        </xdr:to>
        <xdr:sp macro="" textlink="">
          <xdr:nvSpPr>
            <xdr:cNvPr id="2305" name="Label 257" hidden="1">
              <a:extLst>
                <a:ext uri="{63B3BB69-23CF-44E3-9099-C40C66FF867C}">
                  <a14:compatExt spid="_x0000_s2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0</xdr:rowOff>
        </xdr:from>
        <xdr:to>
          <xdr:col>28</xdr:col>
          <xdr:colOff>19050</xdr:colOff>
          <xdr:row>32</xdr:row>
          <xdr:rowOff>295275</xdr:rowOff>
        </xdr:to>
        <xdr:sp macro="" textlink="">
          <xdr:nvSpPr>
            <xdr:cNvPr id="2306" name="Label 258" hidden="1">
              <a:extLst>
                <a:ext uri="{63B3BB69-23CF-44E3-9099-C40C66FF867C}">
                  <a14:compatExt spid="_x0000_s2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</xdr:colOff>
          <xdr:row>32</xdr:row>
          <xdr:rowOff>0</xdr:rowOff>
        </xdr:from>
        <xdr:to>
          <xdr:col>29</xdr:col>
          <xdr:colOff>19050</xdr:colOff>
          <xdr:row>32</xdr:row>
          <xdr:rowOff>295275</xdr:rowOff>
        </xdr:to>
        <xdr:sp macro="" textlink="">
          <xdr:nvSpPr>
            <xdr:cNvPr id="2307" name="Label 259" hidden="1">
              <a:extLst>
                <a:ext uri="{63B3BB69-23CF-44E3-9099-C40C66FF867C}">
                  <a14:compatExt spid="_x0000_s2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32</xdr:row>
          <xdr:rowOff>0</xdr:rowOff>
        </xdr:from>
        <xdr:to>
          <xdr:col>30</xdr:col>
          <xdr:colOff>19050</xdr:colOff>
          <xdr:row>32</xdr:row>
          <xdr:rowOff>295275</xdr:rowOff>
        </xdr:to>
        <xdr:sp macro="" textlink="">
          <xdr:nvSpPr>
            <xdr:cNvPr id="2308" name="Label 260" hidden="1">
              <a:extLst>
                <a:ext uri="{63B3BB69-23CF-44E3-9099-C40C66FF867C}">
                  <a14:compatExt spid="_x0000_s2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32</xdr:row>
          <xdr:rowOff>0</xdr:rowOff>
        </xdr:from>
        <xdr:to>
          <xdr:col>31</xdr:col>
          <xdr:colOff>19050</xdr:colOff>
          <xdr:row>32</xdr:row>
          <xdr:rowOff>295275</xdr:rowOff>
        </xdr:to>
        <xdr:sp macro="" textlink="">
          <xdr:nvSpPr>
            <xdr:cNvPr id="2309" name="Label 261" hidden="1">
              <a:extLst>
                <a:ext uri="{63B3BB69-23CF-44E3-9099-C40C66FF867C}">
                  <a14:compatExt spid="_x0000_s2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19050</xdr:colOff>
          <xdr:row>32</xdr:row>
          <xdr:rowOff>0</xdr:rowOff>
        </xdr:from>
        <xdr:to>
          <xdr:col>32</xdr:col>
          <xdr:colOff>19050</xdr:colOff>
          <xdr:row>32</xdr:row>
          <xdr:rowOff>295275</xdr:rowOff>
        </xdr:to>
        <xdr:sp macro="" textlink="">
          <xdr:nvSpPr>
            <xdr:cNvPr id="2310" name="Label 262" hidden="1">
              <a:extLst>
                <a:ext uri="{63B3BB69-23CF-44E3-9099-C40C66FF867C}">
                  <a14:compatExt spid="_x0000_s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>
    <xdr:from>
      <xdr:col>33</xdr:col>
      <xdr:colOff>265111</xdr:colOff>
      <xdr:row>16</xdr:row>
      <xdr:rowOff>4806</xdr:rowOff>
    </xdr:from>
    <xdr:to>
      <xdr:col>37</xdr:col>
      <xdr:colOff>380681</xdr:colOff>
      <xdr:row>19</xdr:row>
      <xdr:rowOff>14331</xdr:rowOff>
    </xdr:to>
    <xdr:sp macro="[0]!Roll_Over_Record" textlink="">
      <xdr:nvSpPr>
        <xdr:cNvPr id="3" name="Rounded Rectangle 2"/>
        <xdr:cNvSpPr/>
      </xdr:nvSpPr>
      <xdr:spPr>
        <a:xfrm>
          <a:off x="11202986" y="4251369"/>
          <a:ext cx="2560320" cy="9144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Roll Over</a:t>
          </a:r>
          <a:r>
            <a:rPr lang="en-US" sz="2400" baseline="0"/>
            <a:t> </a:t>
          </a:r>
          <a:r>
            <a:rPr lang="en-US" sz="2400"/>
            <a:t>Record </a:t>
          </a:r>
        </a:p>
      </xdr:txBody>
    </xdr:sp>
    <xdr:clientData/>
  </xdr:twoCellAnchor>
  <xdr:twoCellAnchor>
    <xdr:from>
      <xdr:col>33</xdr:col>
      <xdr:colOff>257174</xdr:colOff>
      <xdr:row>8</xdr:row>
      <xdr:rowOff>19049</xdr:rowOff>
    </xdr:from>
    <xdr:to>
      <xdr:col>37</xdr:col>
      <xdr:colOff>372744</xdr:colOff>
      <xdr:row>11</xdr:row>
      <xdr:rowOff>28574</xdr:rowOff>
    </xdr:to>
    <xdr:sp macro="[0]!Exit_Button" textlink="">
      <xdr:nvSpPr>
        <xdr:cNvPr id="111" name="Rounded Rectangle 110"/>
        <xdr:cNvSpPr/>
      </xdr:nvSpPr>
      <xdr:spPr>
        <a:xfrm>
          <a:off x="11195049" y="1860549"/>
          <a:ext cx="2560320" cy="914400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Save &amp; Exit</a:t>
          </a:r>
        </a:p>
      </xdr:txBody>
    </xdr:sp>
    <xdr:clientData/>
  </xdr:twoCellAnchor>
  <xdr:twoCellAnchor>
    <xdr:from>
      <xdr:col>33</xdr:col>
      <xdr:colOff>250824</xdr:colOff>
      <xdr:row>24</xdr:row>
      <xdr:rowOff>198439</xdr:rowOff>
    </xdr:from>
    <xdr:to>
      <xdr:col>37</xdr:col>
      <xdr:colOff>366394</xdr:colOff>
      <xdr:row>28</xdr:row>
      <xdr:rowOff>272099</xdr:rowOff>
    </xdr:to>
    <xdr:sp macro="[0]!Show_UserForm2" textlink="">
      <xdr:nvSpPr>
        <xdr:cNvPr id="115" name="Rounded Rectangle 114"/>
        <xdr:cNvSpPr/>
      </xdr:nvSpPr>
      <xdr:spPr>
        <a:xfrm>
          <a:off x="11188699" y="6858002"/>
          <a:ext cx="2560320" cy="12801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Add/Remove</a:t>
          </a:r>
          <a:r>
            <a:rPr lang="en-US" sz="2400" baseline="0"/>
            <a:t> </a:t>
          </a:r>
          <a:r>
            <a:rPr lang="en-US" sz="2800" baseline="0"/>
            <a:t>Note</a:t>
          </a:r>
          <a:endParaRPr lang="en-US" sz="2800"/>
        </a:p>
      </xdr:txBody>
    </xdr:sp>
    <xdr:clientData/>
  </xdr:twoCellAnchor>
  <xdr:twoCellAnchor>
    <xdr:from>
      <xdr:col>33</xdr:col>
      <xdr:colOff>222249</xdr:colOff>
      <xdr:row>20</xdr:row>
      <xdr:rowOff>100942</xdr:rowOff>
    </xdr:from>
    <xdr:to>
      <xdr:col>37</xdr:col>
      <xdr:colOff>337819</xdr:colOff>
      <xdr:row>23</xdr:row>
      <xdr:rowOff>110467</xdr:rowOff>
    </xdr:to>
    <xdr:sp macro="[0]!Discharge_Patient_2" textlink="">
      <xdr:nvSpPr>
        <xdr:cNvPr id="107" name="Rounded Rectangle 106"/>
        <xdr:cNvSpPr/>
      </xdr:nvSpPr>
      <xdr:spPr>
        <a:xfrm>
          <a:off x="11160124" y="5554005"/>
          <a:ext cx="256032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D/C</a:t>
          </a:r>
          <a:r>
            <a:rPr lang="en-US" sz="3200" baseline="0"/>
            <a:t> Patient</a:t>
          </a:r>
          <a:endParaRPr lang="en-US" sz="3200"/>
        </a:p>
      </xdr:txBody>
    </xdr:sp>
    <xdr:clientData/>
  </xdr:twoCellAnchor>
  <xdr:oneCellAnchor>
    <xdr:from>
      <xdr:col>0</xdr:col>
      <xdr:colOff>401410</xdr:colOff>
      <xdr:row>15</xdr:row>
      <xdr:rowOff>244930</xdr:rowOff>
    </xdr:from>
    <xdr:ext cx="10346608" cy="1533791"/>
    <xdr:sp macro="" textlink="">
      <xdr:nvSpPr>
        <xdr:cNvPr id="119" name="Discharge1" hidden="1"/>
        <xdr:cNvSpPr/>
      </xdr:nvSpPr>
      <xdr:spPr>
        <a:xfrm rot="19333538">
          <a:off x="401410" y="3422198"/>
          <a:ext cx="10346608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673553</xdr:colOff>
      <xdr:row>15</xdr:row>
      <xdr:rowOff>231322</xdr:rowOff>
    </xdr:from>
    <xdr:ext cx="10457712" cy="1533791"/>
    <xdr:sp macro="" textlink="">
      <xdr:nvSpPr>
        <xdr:cNvPr id="120" name="Discharge2" hidden="1"/>
        <xdr:cNvSpPr/>
      </xdr:nvSpPr>
      <xdr:spPr>
        <a:xfrm rot="19333538">
          <a:off x="673553" y="3408590"/>
          <a:ext cx="1045771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850446</xdr:colOff>
      <xdr:row>15</xdr:row>
      <xdr:rowOff>176892</xdr:rowOff>
    </xdr:from>
    <xdr:ext cx="10457712" cy="1533791"/>
    <xdr:sp macro="" textlink="">
      <xdr:nvSpPr>
        <xdr:cNvPr id="121" name="Discharge3" hidden="1"/>
        <xdr:cNvSpPr/>
      </xdr:nvSpPr>
      <xdr:spPr>
        <a:xfrm rot="19274466">
          <a:off x="850446" y="3354160"/>
          <a:ext cx="1045771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768804</xdr:colOff>
      <xdr:row>16</xdr:row>
      <xdr:rowOff>47626</xdr:rowOff>
    </xdr:from>
    <xdr:ext cx="10701822" cy="1533791"/>
    <xdr:sp macro="" textlink="">
      <xdr:nvSpPr>
        <xdr:cNvPr id="122" name="Discharge4" hidden="1"/>
        <xdr:cNvSpPr/>
      </xdr:nvSpPr>
      <xdr:spPr>
        <a:xfrm rot="19274466">
          <a:off x="768804" y="3531055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884463</xdr:colOff>
      <xdr:row>15</xdr:row>
      <xdr:rowOff>217710</xdr:rowOff>
    </xdr:from>
    <xdr:ext cx="10701822" cy="1533791"/>
    <xdr:sp macro="" textlink="">
      <xdr:nvSpPr>
        <xdr:cNvPr id="123" name="Discharge5" hidden="1"/>
        <xdr:cNvSpPr/>
      </xdr:nvSpPr>
      <xdr:spPr>
        <a:xfrm rot="19115162">
          <a:off x="884463" y="3394978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1238249</xdr:colOff>
      <xdr:row>15</xdr:row>
      <xdr:rowOff>184175</xdr:rowOff>
    </xdr:from>
    <xdr:ext cx="10701822" cy="1533791"/>
    <xdr:sp macro="" textlink="">
      <xdr:nvSpPr>
        <xdr:cNvPr id="124" name="Discharge6" hidden="1"/>
        <xdr:cNvSpPr/>
      </xdr:nvSpPr>
      <xdr:spPr>
        <a:xfrm rot="19115162">
          <a:off x="1238249" y="3361443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</xdr:col>
      <xdr:colOff>61234</xdr:colOff>
      <xdr:row>15</xdr:row>
      <xdr:rowOff>204107</xdr:rowOff>
    </xdr:from>
    <xdr:ext cx="10701822" cy="1533791"/>
    <xdr:sp macro="" textlink="">
      <xdr:nvSpPr>
        <xdr:cNvPr id="125" name="Discharge7" hidden="1"/>
        <xdr:cNvSpPr/>
      </xdr:nvSpPr>
      <xdr:spPr>
        <a:xfrm rot="19115162">
          <a:off x="1530805" y="3381375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</xdr:col>
      <xdr:colOff>34019</xdr:colOff>
      <xdr:row>15</xdr:row>
      <xdr:rowOff>224996</xdr:rowOff>
    </xdr:from>
    <xdr:ext cx="10701822" cy="1533791"/>
    <xdr:sp macro="" textlink="">
      <xdr:nvSpPr>
        <xdr:cNvPr id="126" name="Discharge8" hidden="1"/>
        <xdr:cNvSpPr/>
      </xdr:nvSpPr>
      <xdr:spPr>
        <a:xfrm rot="19115162">
          <a:off x="1789340" y="3402264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3</xdr:col>
      <xdr:colOff>238127</xdr:colOff>
      <xdr:row>16</xdr:row>
      <xdr:rowOff>68035</xdr:rowOff>
    </xdr:from>
    <xdr:ext cx="9835974" cy="1533791"/>
    <xdr:sp macro="" textlink="">
      <xdr:nvSpPr>
        <xdr:cNvPr id="127" name="Discharge9" hidden="1"/>
        <xdr:cNvSpPr/>
      </xdr:nvSpPr>
      <xdr:spPr>
        <a:xfrm rot="19115162">
          <a:off x="2279198" y="3551464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4</xdr:col>
      <xdr:colOff>40821</xdr:colOff>
      <xdr:row>16</xdr:row>
      <xdr:rowOff>265338</xdr:rowOff>
    </xdr:from>
    <xdr:ext cx="9835974" cy="1533791"/>
    <xdr:sp macro="" textlink="">
      <xdr:nvSpPr>
        <xdr:cNvPr id="128" name="Discharge10" hidden="1"/>
        <xdr:cNvSpPr/>
      </xdr:nvSpPr>
      <xdr:spPr>
        <a:xfrm rot="19115162">
          <a:off x="2367642" y="3748767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6</xdr:col>
      <xdr:colOff>149677</xdr:colOff>
      <xdr:row>17</xdr:row>
      <xdr:rowOff>142873</xdr:rowOff>
    </xdr:from>
    <xdr:ext cx="8626282" cy="1533791"/>
    <xdr:sp macro="" textlink="">
      <xdr:nvSpPr>
        <xdr:cNvPr id="129" name="Discharge11" hidden="1"/>
        <xdr:cNvSpPr/>
      </xdr:nvSpPr>
      <xdr:spPr>
        <a:xfrm rot="19115162">
          <a:off x="3047998" y="3932462"/>
          <a:ext cx="862628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7</xdr:col>
      <xdr:colOff>238124</xdr:colOff>
      <xdr:row>17</xdr:row>
      <xdr:rowOff>136074</xdr:rowOff>
    </xdr:from>
    <xdr:ext cx="8437549" cy="1533791"/>
    <xdr:sp macro="" textlink="">
      <xdr:nvSpPr>
        <xdr:cNvPr id="130" name="Discharge12" hidden="1"/>
        <xdr:cNvSpPr/>
      </xdr:nvSpPr>
      <xdr:spPr>
        <a:xfrm rot="19115162">
          <a:off x="3422195" y="3925663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8</xdr:col>
      <xdr:colOff>27215</xdr:colOff>
      <xdr:row>18</xdr:row>
      <xdr:rowOff>27213</xdr:rowOff>
    </xdr:from>
    <xdr:ext cx="8437549" cy="1533791"/>
    <xdr:sp macro="" textlink="">
      <xdr:nvSpPr>
        <xdr:cNvPr id="131" name="Discharge13" hidden="1"/>
        <xdr:cNvSpPr/>
      </xdr:nvSpPr>
      <xdr:spPr>
        <a:xfrm rot="19115162">
          <a:off x="3497036" y="4122963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9</xdr:col>
      <xdr:colOff>224518</xdr:colOff>
      <xdr:row>18</xdr:row>
      <xdr:rowOff>6802</xdr:rowOff>
    </xdr:from>
    <xdr:ext cx="8081631" cy="1533791"/>
    <xdr:sp macro="" textlink="">
      <xdr:nvSpPr>
        <xdr:cNvPr id="132" name="Discharge14" hidden="1"/>
        <xdr:cNvSpPr/>
      </xdr:nvSpPr>
      <xdr:spPr>
        <a:xfrm rot="19115162">
          <a:off x="3980089" y="4102552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10</xdr:col>
      <xdr:colOff>20412</xdr:colOff>
      <xdr:row>18</xdr:row>
      <xdr:rowOff>190500</xdr:rowOff>
    </xdr:from>
    <xdr:ext cx="8081631" cy="1533791"/>
    <xdr:sp macro="" textlink="">
      <xdr:nvSpPr>
        <xdr:cNvPr id="133" name="Discharge15" hidden="1"/>
        <xdr:cNvSpPr/>
      </xdr:nvSpPr>
      <xdr:spPr>
        <a:xfrm rot="19115162">
          <a:off x="4061733" y="4286250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10</xdr:col>
      <xdr:colOff>95252</xdr:colOff>
      <xdr:row>19</xdr:row>
      <xdr:rowOff>68037</xdr:rowOff>
    </xdr:from>
    <xdr:ext cx="8081631" cy="1533791"/>
    <xdr:sp macro="" textlink="">
      <xdr:nvSpPr>
        <xdr:cNvPr id="134" name="Discharge16" hidden="1"/>
        <xdr:cNvSpPr/>
      </xdr:nvSpPr>
      <xdr:spPr>
        <a:xfrm rot="19115162">
          <a:off x="4136573" y="4469948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14</xdr:col>
      <xdr:colOff>115660</xdr:colOff>
      <xdr:row>19</xdr:row>
      <xdr:rowOff>292553</xdr:rowOff>
    </xdr:from>
    <xdr:ext cx="5870342" cy="1533791"/>
    <xdr:sp macro="" textlink="">
      <xdr:nvSpPr>
        <xdr:cNvPr id="135" name="Discharge17" hidden="1"/>
        <xdr:cNvSpPr/>
      </xdr:nvSpPr>
      <xdr:spPr>
        <a:xfrm rot="19115162">
          <a:off x="5299981" y="4694464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15</xdr:col>
      <xdr:colOff>88447</xdr:colOff>
      <xdr:row>20</xdr:row>
      <xdr:rowOff>6803</xdr:rowOff>
    </xdr:from>
    <xdr:ext cx="5870342" cy="1533791"/>
    <xdr:sp macro="" textlink="">
      <xdr:nvSpPr>
        <xdr:cNvPr id="136" name="Discharge18" hidden="1"/>
        <xdr:cNvSpPr/>
      </xdr:nvSpPr>
      <xdr:spPr>
        <a:xfrm rot="19115162">
          <a:off x="5558518" y="4714874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74841</xdr:colOff>
      <xdr:row>20</xdr:row>
      <xdr:rowOff>170088</xdr:rowOff>
    </xdr:from>
    <xdr:ext cx="5497951" cy="1533791"/>
    <xdr:sp macro="" textlink="">
      <xdr:nvSpPr>
        <xdr:cNvPr id="137" name="Discharge19" hidden="1"/>
        <xdr:cNvSpPr/>
      </xdr:nvSpPr>
      <xdr:spPr>
        <a:xfrm rot="19115162">
          <a:off x="5830662" y="4878159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217716</xdr:colOff>
      <xdr:row>21</xdr:row>
      <xdr:rowOff>34019</xdr:rowOff>
    </xdr:from>
    <xdr:ext cx="5497951" cy="1533791"/>
    <xdr:sp macro="" textlink="">
      <xdr:nvSpPr>
        <xdr:cNvPr id="138" name="Discharge20" hidden="1"/>
        <xdr:cNvSpPr/>
      </xdr:nvSpPr>
      <xdr:spPr>
        <a:xfrm rot="19115162">
          <a:off x="5973537" y="5048251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17</xdr:col>
      <xdr:colOff>163284</xdr:colOff>
      <xdr:row>21</xdr:row>
      <xdr:rowOff>40822</xdr:rowOff>
    </xdr:from>
    <xdr:ext cx="5497951" cy="1533791"/>
    <xdr:sp macro="" textlink="">
      <xdr:nvSpPr>
        <xdr:cNvPr id="139" name="Discharge21" hidden="1"/>
        <xdr:cNvSpPr/>
      </xdr:nvSpPr>
      <xdr:spPr>
        <a:xfrm rot="19115162">
          <a:off x="6204855" y="5055054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19</xdr:col>
      <xdr:colOff>95250</xdr:colOff>
      <xdr:row>21</xdr:row>
      <xdr:rowOff>224518</xdr:rowOff>
    </xdr:from>
    <xdr:ext cx="4596560" cy="1533791"/>
    <xdr:sp macro="" textlink="">
      <xdr:nvSpPr>
        <xdr:cNvPr id="140" name="Discharge22" hidden="1"/>
        <xdr:cNvSpPr/>
      </xdr:nvSpPr>
      <xdr:spPr>
        <a:xfrm rot="19115162">
          <a:off x="6708321" y="5238750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20</xdr:col>
      <xdr:colOff>102053</xdr:colOff>
      <xdr:row>21</xdr:row>
      <xdr:rowOff>224519</xdr:rowOff>
    </xdr:from>
    <xdr:ext cx="4596560" cy="1533791"/>
    <xdr:sp macro="" textlink="">
      <xdr:nvSpPr>
        <xdr:cNvPr id="141" name="Discharge23" hidden="1"/>
        <xdr:cNvSpPr/>
      </xdr:nvSpPr>
      <xdr:spPr>
        <a:xfrm rot="19115162">
          <a:off x="7000874" y="5238751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22</xdr:col>
      <xdr:colOff>68035</xdr:colOff>
      <xdr:row>22</xdr:row>
      <xdr:rowOff>102053</xdr:rowOff>
    </xdr:from>
    <xdr:ext cx="3731140" cy="1533791"/>
    <xdr:sp macro="" textlink="">
      <xdr:nvSpPr>
        <xdr:cNvPr id="142" name="Discharge24" hidden="1"/>
        <xdr:cNvSpPr/>
      </xdr:nvSpPr>
      <xdr:spPr>
        <a:xfrm rot="19115162">
          <a:off x="7538356" y="5422446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23</xdr:col>
      <xdr:colOff>34019</xdr:colOff>
      <xdr:row>22</xdr:row>
      <xdr:rowOff>95250</xdr:rowOff>
    </xdr:from>
    <xdr:ext cx="3731140" cy="1533791"/>
    <xdr:sp macro="" textlink="">
      <xdr:nvSpPr>
        <xdr:cNvPr id="143" name="Discharge25" hidden="1"/>
        <xdr:cNvSpPr/>
      </xdr:nvSpPr>
      <xdr:spPr>
        <a:xfrm rot="19115162">
          <a:off x="7790090" y="5415643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24</xdr:col>
      <xdr:colOff>34018</xdr:colOff>
      <xdr:row>22</xdr:row>
      <xdr:rowOff>278947</xdr:rowOff>
    </xdr:from>
    <xdr:ext cx="3316202" cy="1533791"/>
    <xdr:sp macro="" textlink="">
      <xdr:nvSpPr>
        <xdr:cNvPr id="144" name="Discharge26" hidden="1"/>
        <xdr:cNvSpPr/>
      </xdr:nvSpPr>
      <xdr:spPr>
        <a:xfrm rot="19115162">
          <a:off x="8075839" y="5599340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61232</xdr:colOff>
      <xdr:row>22</xdr:row>
      <xdr:rowOff>292552</xdr:rowOff>
    </xdr:from>
    <xdr:ext cx="3316202" cy="1533791"/>
    <xdr:sp macro="" textlink="">
      <xdr:nvSpPr>
        <xdr:cNvPr id="145" name="Discharge27" hidden="1"/>
        <xdr:cNvSpPr/>
      </xdr:nvSpPr>
      <xdr:spPr>
        <a:xfrm rot="19115162">
          <a:off x="8388803" y="5612945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28</xdr:col>
      <xdr:colOff>115660</xdr:colOff>
      <xdr:row>6</xdr:row>
      <xdr:rowOff>54428</xdr:rowOff>
    </xdr:from>
    <xdr:ext cx="1533791" cy="6771861"/>
    <xdr:sp macro="" textlink="">
      <xdr:nvSpPr>
        <xdr:cNvPr id="146" name="Discharge28" hidden="1"/>
        <xdr:cNvSpPr/>
      </xdr:nvSpPr>
      <xdr:spPr>
        <a:xfrm rot="5400000">
          <a:off x="6681446" y="3850481"/>
          <a:ext cx="677186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29</xdr:col>
      <xdr:colOff>122464</xdr:colOff>
      <xdr:row>6</xdr:row>
      <xdr:rowOff>136072</xdr:rowOff>
    </xdr:from>
    <xdr:ext cx="1533791" cy="6659293"/>
    <xdr:sp macro="" textlink="">
      <xdr:nvSpPr>
        <xdr:cNvPr id="147" name="Discharge29" hidden="1"/>
        <xdr:cNvSpPr/>
      </xdr:nvSpPr>
      <xdr:spPr>
        <a:xfrm rot="5400000">
          <a:off x="7030284" y="3875841"/>
          <a:ext cx="6659293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30</xdr:col>
      <xdr:colOff>115661</xdr:colOff>
      <xdr:row>6</xdr:row>
      <xdr:rowOff>6804</xdr:rowOff>
    </xdr:from>
    <xdr:ext cx="1533791" cy="6884435"/>
    <xdr:sp macro="" textlink="">
      <xdr:nvSpPr>
        <xdr:cNvPr id="148" name="Discharge30" hidden="1"/>
        <xdr:cNvSpPr/>
      </xdr:nvSpPr>
      <xdr:spPr>
        <a:xfrm rot="5400000">
          <a:off x="7196660" y="3859144"/>
          <a:ext cx="6884435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39</xdr:col>
      <xdr:colOff>192807</xdr:colOff>
      <xdr:row>27</xdr:row>
      <xdr:rowOff>48036</xdr:rowOff>
    </xdr:to>
    <xdr:pic macro="[0]!Picture2_Click">
      <xdr:nvPicPr>
        <xdr:cNvPr id="150" name="Picture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805744" cy="7801840"/>
        </a:xfrm>
        <a:prstGeom prst="rect">
          <a:avLst/>
        </a:prstGeom>
      </xdr:spPr>
    </xdr:pic>
    <xdr:clientData/>
  </xdr:twoCellAnchor>
  <xdr:twoCellAnchor>
    <xdr:from>
      <xdr:col>33</xdr:col>
      <xdr:colOff>269875</xdr:colOff>
      <xdr:row>30</xdr:row>
      <xdr:rowOff>39689</xdr:rowOff>
    </xdr:from>
    <xdr:to>
      <xdr:col>37</xdr:col>
      <xdr:colOff>370896</xdr:colOff>
      <xdr:row>34</xdr:row>
      <xdr:rowOff>151637</xdr:rowOff>
    </xdr:to>
    <xdr:sp macro="[0]!add_status_code" textlink="">
      <xdr:nvSpPr>
        <xdr:cNvPr id="149" name="Rounded Rectangle 148"/>
        <xdr:cNvSpPr/>
      </xdr:nvSpPr>
      <xdr:spPr>
        <a:xfrm>
          <a:off x="11207750" y="8524877"/>
          <a:ext cx="2545771" cy="13184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Add/Remove</a:t>
          </a:r>
          <a:r>
            <a:rPr lang="en-US" sz="3200" baseline="0"/>
            <a:t> Status Code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y%20Charts/08.%20April%202017/PT/Apr%202017%20Stewart,%20M%20PT%20V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 2017 Stewart, M PT V 2"/>
    </sheetNames>
    <sheetDataSet>
      <sheetData sheetId="0">
        <row r="14">
          <cell r="B14">
            <v>10</v>
          </cell>
        </row>
        <row r="35">
          <cell r="L35" t="str">
            <v>JAB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trlProp" Target="../ctrlProps/ctrlProp34.xml"/><Relationship Id="rId21" Type="http://schemas.openxmlformats.org/officeDocument/2006/relationships/image" Target="../media/image10.emf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63" Type="http://schemas.openxmlformats.org/officeDocument/2006/relationships/image" Target="../media/image31.emf"/><Relationship Id="rId68" Type="http://schemas.openxmlformats.org/officeDocument/2006/relationships/control" Target="../activeX/activeX33.xml"/><Relationship Id="rId84" Type="http://schemas.openxmlformats.org/officeDocument/2006/relationships/ctrlProp" Target="../ctrlProps/ctrlProp1.xml"/><Relationship Id="rId89" Type="http://schemas.openxmlformats.org/officeDocument/2006/relationships/ctrlProp" Target="../ctrlProps/ctrlProp6.xml"/><Relationship Id="rId112" Type="http://schemas.openxmlformats.org/officeDocument/2006/relationships/ctrlProp" Target="../ctrlProps/ctrlProp29.xml"/><Relationship Id="rId133" Type="http://schemas.openxmlformats.org/officeDocument/2006/relationships/ctrlProp" Target="../ctrlProps/ctrlProp50.xml"/><Relationship Id="rId138" Type="http://schemas.openxmlformats.org/officeDocument/2006/relationships/ctrlProp" Target="../ctrlProps/ctrlProp55.xml"/><Relationship Id="rId154" Type="http://schemas.openxmlformats.org/officeDocument/2006/relationships/ctrlProp" Target="../ctrlProps/ctrlProp71.xml"/><Relationship Id="rId159" Type="http://schemas.openxmlformats.org/officeDocument/2006/relationships/ctrlProp" Target="../ctrlProps/ctrlProp76.xml"/><Relationship Id="rId175" Type="http://schemas.openxmlformats.org/officeDocument/2006/relationships/ctrlProp" Target="../ctrlProps/ctrlProp92.xml"/><Relationship Id="rId170" Type="http://schemas.openxmlformats.org/officeDocument/2006/relationships/ctrlProp" Target="../ctrlProps/ctrlProp87.xml"/><Relationship Id="rId16" Type="http://schemas.openxmlformats.org/officeDocument/2006/relationships/control" Target="../activeX/activeX7.xml"/><Relationship Id="rId107" Type="http://schemas.openxmlformats.org/officeDocument/2006/relationships/ctrlProp" Target="../ctrlProps/ctrlProp24.xml"/><Relationship Id="rId11" Type="http://schemas.openxmlformats.org/officeDocument/2006/relationships/image" Target="../media/image5.emf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53" Type="http://schemas.openxmlformats.org/officeDocument/2006/relationships/image" Target="../media/image26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9.emf"/><Relationship Id="rId102" Type="http://schemas.openxmlformats.org/officeDocument/2006/relationships/ctrlProp" Target="../ctrlProps/ctrlProp19.xml"/><Relationship Id="rId123" Type="http://schemas.openxmlformats.org/officeDocument/2006/relationships/ctrlProp" Target="../ctrlProps/ctrlProp40.xml"/><Relationship Id="rId128" Type="http://schemas.openxmlformats.org/officeDocument/2006/relationships/ctrlProp" Target="../ctrlProps/ctrlProp45.xml"/><Relationship Id="rId144" Type="http://schemas.openxmlformats.org/officeDocument/2006/relationships/ctrlProp" Target="../ctrlProps/ctrlProp61.xml"/><Relationship Id="rId149" Type="http://schemas.openxmlformats.org/officeDocument/2006/relationships/ctrlProp" Target="../ctrlProps/ctrlProp66.xml"/><Relationship Id="rId5" Type="http://schemas.openxmlformats.org/officeDocument/2006/relationships/image" Target="../media/image2.emf"/><Relationship Id="rId90" Type="http://schemas.openxmlformats.org/officeDocument/2006/relationships/ctrlProp" Target="../ctrlProps/ctrlProp7.xml"/><Relationship Id="rId95" Type="http://schemas.openxmlformats.org/officeDocument/2006/relationships/ctrlProp" Target="../ctrlProps/ctrlProp12.xml"/><Relationship Id="rId160" Type="http://schemas.openxmlformats.org/officeDocument/2006/relationships/ctrlProp" Target="../ctrlProps/ctrlProp77.xml"/><Relationship Id="rId165" Type="http://schemas.openxmlformats.org/officeDocument/2006/relationships/ctrlProp" Target="../ctrlProps/ctrlProp82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4.emf"/><Relationship Id="rId113" Type="http://schemas.openxmlformats.org/officeDocument/2006/relationships/ctrlProp" Target="../ctrlProps/ctrlProp30.xml"/><Relationship Id="rId118" Type="http://schemas.openxmlformats.org/officeDocument/2006/relationships/ctrlProp" Target="../ctrlProps/ctrlProp35.xml"/><Relationship Id="rId134" Type="http://schemas.openxmlformats.org/officeDocument/2006/relationships/ctrlProp" Target="../ctrlProps/ctrlProp51.xml"/><Relationship Id="rId139" Type="http://schemas.openxmlformats.org/officeDocument/2006/relationships/ctrlProp" Target="../ctrlProps/ctrlProp56.xml"/><Relationship Id="rId80" Type="http://schemas.openxmlformats.org/officeDocument/2006/relationships/control" Target="../activeX/activeX39.xml"/><Relationship Id="rId85" Type="http://schemas.openxmlformats.org/officeDocument/2006/relationships/ctrlProp" Target="../ctrlProps/ctrlProp2.xml"/><Relationship Id="rId150" Type="http://schemas.openxmlformats.org/officeDocument/2006/relationships/ctrlProp" Target="../ctrlProps/ctrlProp67.xml"/><Relationship Id="rId155" Type="http://schemas.openxmlformats.org/officeDocument/2006/relationships/ctrlProp" Target="../ctrlProps/ctrlProp72.xml"/><Relationship Id="rId171" Type="http://schemas.openxmlformats.org/officeDocument/2006/relationships/ctrlProp" Target="../ctrlProps/ctrlProp88.xml"/><Relationship Id="rId176" Type="http://schemas.openxmlformats.org/officeDocument/2006/relationships/ctrlProp" Target="../ctrlProps/ctrlProp93.x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59" Type="http://schemas.openxmlformats.org/officeDocument/2006/relationships/image" Target="../media/image29.emf"/><Relationship Id="rId103" Type="http://schemas.openxmlformats.org/officeDocument/2006/relationships/ctrlProp" Target="../ctrlProps/ctrlProp20.xml"/><Relationship Id="rId108" Type="http://schemas.openxmlformats.org/officeDocument/2006/relationships/ctrlProp" Target="../ctrlProps/ctrlProp25.xml"/><Relationship Id="rId124" Type="http://schemas.openxmlformats.org/officeDocument/2006/relationships/ctrlProp" Target="../ctrlProps/ctrlProp41.xml"/><Relationship Id="rId129" Type="http://schemas.openxmlformats.org/officeDocument/2006/relationships/ctrlProp" Target="../ctrlProps/ctrlProp46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7.emf"/><Relationship Id="rId91" Type="http://schemas.openxmlformats.org/officeDocument/2006/relationships/ctrlProp" Target="../ctrlProps/ctrlProp8.xml"/><Relationship Id="rId96" Type="http://schemas.openxmlformats.org/officeDocument/2006/relationships/ctrlProp" Target="../ctrlProps/ctrlProp13.xml"/><Relationship Id="rId140" Type="http://schemas.openxmlformats.org/officeDocument/2006/relationships/ctrlProp" Target="../ctrlProps/ctrlProp57.xml"/><Relationship Id="rId145" Type="http://schemas.openxmlformats.org/officeDocument/2006/relationships/ctrlProp" Target="../ctrlProps/ctrlProp62.xml"/><Relationship Id="rId161" Type="http://schemas.openxmlformats.org/officeDocument/2006/relationships/ctrlProp" Target="../ctrlProps/ctrlProp78.xml"/><Relationship Id="rId166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49" Type="http://schemas.openxmlformats.org/officeDocument/2006/relationships/image" Target="../media/image24.emf"/><Relationship Id="rId114" Type="http://schemas.openxmlformats.org/officeDocument/2006/relationships/ctrlProp" Target="../ctrlProps/ctrlProp31.xml"/><Relationship Id="rId119" Type="http://schemas.openxmlformats.org/officeDocument/2006/relationships/ctrlProp" Target="../ctrlProps/ctrlProp36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2.emf"/><Relationship Id="rId73" Type="http://schemas.openxmlformats.org/officeDocument/2006/relationships/image" Target="../media/image36.emf"/><Relationship Id="rId78" Type="http://schemas.openxmlformats.org/officeDocument/2006/relationships/control" Target="../activeX/activeX38.xml"/><Relationship Id="rId81" Type="http://schemas.openxmlformats.org/officeDocument/2006/relationships/image" Target="../media/image40.emf"/><Relationship Id="rId86" Type="http://schemas.openxmlformats.org/officeDocument/2006/relationships/ctrlProp" Target="../ctrlProps/ctrlProp3.xml"/><Relationship Id="rId94" Type="http://schemas.openxmlformats.org/officeDocument/2006/relationships/ctrlProp" Target="../ctrlProps/ctrlProp11.xml"/><Relationship Id="rId99" Type="http://schemas.openxmlformats.org/officeDocument/2006/relationships/ctrlProp" Target="../ctrlProps/ctrlProp16.xml"/><Relationship Id="rId101" Type="http://schemas.openxmlformats.org/officeDocument/2006/relationships/ctrlProp" Target="../ctrlProps/ctrlProp18.xml"/><Relationship Id="rId122" Type="http://schemas.openxmlformats.org/officeDocument/2006/relationships/ctrlProp" Target="../ctrlProps/ctrlProp39.xml"/><Relationship Id="rId130" Type="http://schemas.openxmlformats.org/officeDocument/2006/relationships/ctrlProp" Target="../ctrlProps/ctrlProp47.xml"/><Relationship Id="rId135" Type="http://schemas.openxmlformats.org/officeDocument/2006/relationships/ctrlProp" Target="../ctrlProps/ctrlProp52.xml"/><Relationship Id="rId143" Type="http://schemas.openxmlformats.org/officeDocument/2006/relationships/ctrlProp" Target="../ctrlProps/ctrlProp60.xml"/><Relationship Id="rId148" Type="http://schemas.openxmlformats.org/officeDocument/2006/relationships/ctrlProp" Target="../ctrlProps/ctrlProp65.xml"/><Relationship Id="rId151" Type="http://schemas.openxmlformats.org/officeDocument/2006/relationships/ctrlProp" Target="../ctrlProps/ctrlProp68.xml"/><Relationship Id="rId156" Type="http://schemas.openxmlformats.org/officeDocument/2006/relationships/ctrlProp" Target="../ctrlProps/ctrlProp73.xml"/><Relationship Id="rId164" Type="http://schemas.openxmlformats.org/officeDocument/2006/relationships/ctrlProp" Target="../ctrlProps/ctrlProp81.xml"/><Relationship Id="rId169" Type="http://schemas.openxmlformats.org/officeDocument/2006/relationships/ctrlProp" Target="../ctrlProps/ctrlProp86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72" Type="http://schemas.openxmlformats.org/officeDocument/2006/relationships/ctrlProp" Target="../ctrlProps/ctrlProp89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9" Type="http://schemas.openxmlformats.org/officeDocument/2006/relationships/image" Target="../media/image19.emf"/><Relationship Id="rId109" Type="http://schemas.openxmlformats.org/officeDocument/2006/relationships/ctrlProp" Target="../ctrlProps/ctrlProp26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76" Type="http://schemas.openxmlformats.org/officeDocument/2006/relationships/control" Target="../activeX/activeX37.xml"/><Relationship Id="rId97" Type="http://schemas.openxmlformats.org/officeDocument/2006/relationships/ctrlProp" Target="../ctrlProps/ctrlProp14.xml"/><Relationship Id="rId104" Type="http://schemas.openxmlformats.org/officeDocument/2006/relationships/ctrlProp" Target="../ctrlProps/ctrlProp21.xml"/><Relationship Id="rId120" Type="http://schemas.openxmlformats.org/officeDocument/2006/relationships/ctrlProp" Target="../ctrlProps/ctrlProp37.xml"/><Relationship Id="rId125" Type="http://schemas.openxmlformats.org/officeDocument/2006/relationships/ctrlProp" Target="../ctrlProps/ctrlProp42.xml"/><Relationship Id="rId141" Type="http://schemas.openxmlformats.org/officeDocument/2006/relationships/ctrlProp" Target="../ctrlProps/ctrlProp58.xml"/><Relationship Id="rId146" Type="http://schemas.openxmlformats.org/officeDocument/2006/relationships/ctrlProp" Target="../ctrlProps/ctrlProp63.xml"/><Relationship Id="rId167" Type="http://schemas.openxmlformats.org/officeDocument/2006/relationships/ctrlProp" Target="../ctrlProps/ctrlProp84.xml"/><Relationship Id="rId7" Type="http://schemas.openxmlformats.org/officeDocument/2006/relationships/image" Target="../media/image3.emf"/><Relationship Id="rId71" Type="http://schemas.openxmlformats.org/officeDocument/2006/relationships/image" Target="../media/image35.emf"/><Relationship Id="rId92" Type="http://schemas.openxmlformats.org/officeDocument/2006/relationships/ctrlProp" Target="../ctrlProps/ctrlProp9.xml"/><Relationship Id="rId162" Type="http://schemas.openxmlformats.org/officeDocument/2006/relationships/ctrlProp" Target="../ctrlProps/ctrlProp79.xml"/><Relationship Id="rId2" Type="http://schemas.openxmlformats.org/officeDocument/2006/relationships/drawing" Target="../drawings/drawing2.xml"/><Relationship Id="rId29" Type="http://schemas.openxmlformats.org/officeDocument/2006/relationships/image" Target="../media/image14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4.xml"/><Relationship Id="rId110" Type="http://schemas.openxmlformats.org/officeDocument/2006/relationships/ctrlProp" Target="../ctrlProps/ctrlProp27.xml"/><Relationship Id="rId115" Type="http://schemas.openxmlformats.org/officeDocument/2006/relationships/ctrlProp" Target="../ctrlProps/ctrlProp32.xml"/><Relationship Id="rId131" Type="http://schemas.openxmlformats.org/officeDocument/2006/relationships/ctrlProp" Target="../ctrlProps/ctrlProp48.xml"/><Relationship Id="rId136" Type="http://schemas.openxmlformats.org/officeDocument/2006/relationships/ctrlProp" Target="../ctrlProps/ctrlProp53.xml"/><Relationship Id="rId157" Type="http://schemas.openxmlformats.org/officeDocument/2006/relationships/ctrlProp" Target="../ctrlProps/ctrlProp74.xml"/><Relationship Id="rId61" Type="http://schemas.openxmlformats.org/officeDocument/2006/relationships/image" Target="../media/image30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69.xml"/><Relationship Id="rId173" Type="http://schemas.openxmlformats.org/officeDocument/2006/relationships/ctrlProp" Target="../ctrlProps/ctrlProp90.xml"/><Relationship Id="rId19" Type="http://schemas.openxmlformats.org/officeDocument/2006/relationships/image" Target="../media/image9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56" Type="http://schemas.openxmlformats.org/officeDocument/2006/relationships/control" Target="../activeX/activeX27.xml"/><Relationship Id="rId77" Type="http://schemas.openxmlformats.org/officeDocument/2006/relationships/image" Target="../media/image38.emf"/><Relationship Id="rId100" Type="http://schemas.openxmlformats.org/officeDocument/2006/relationships/ctrlProp" Target="../ctrlProps/ctrlProp17.xml"/><Relationship Id="rId105" Type="http://schemas.openxmlformats.org/officeDocument/2006/relationships/ctrlProp" Target="../ctrlProps/ctrlProp22.xml"/><Relationship Id="rId126" Type="http://schemas.openxmlformats.org/officeDocument/2006/relationships/ctrlProp" Target="../ctrlProps/ctrlProp43.xml"/><Relationship Id="rId147" Type="http://schemas.openxmlformats.org/officeDocument/2006/relationships/ctrlProp" Target="../ctrlProps/ctrlProp64.xml"/><Relationship Id="rId168" Type="http://schemas.openxmlformats.org/officeDocument/2006/relationships/ctrlProp" Target="../ctrlProps/ctrlProp85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93" Type="http://schemas.openxmlformats.org/officeDocument/2006/relationships/ctrlProp" Target="../ctrlProps/ctrlProp10.xml"/><Relationship Id="rId98" Type="http://schemas.openxmlformats.org/officeDocument/2006/relationships/ctrlProp" Target="../ctrlProps/ctrlProp15.xml"/><Relationship Id="rId121" Type="http://schemas.openxmlformats.org/officeDocument/2006/relationships/ctrlProp" Target="../ctrlProps/ctrlProp38.xml"/><Relationship Id="rId142" Type="http://schemas.openxmlformats.org/officeDocument/2006/relationships/ctrlProp" Target="../ctrlProps/ctrlProp59.xml"/><Relationship Id="rId163" Type="http://schemas.openxmlformats.org/officeDocument/2006/relationships/ctrlProp" Target="../ctrlProps/ctrlProp8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2.emf"/><Relationship Id="rId46" Type="http://schemas.openxmlformats.org/officeDocument/2006/relationships/control" Target="../activeX/activeX22.xml"/><Relationship Id="rId67" Type="http://schemas.openxmlformats.org/officeDocument/2006/relationships/image" Target="../media/image33.emf"/><Relationship Id="rId116" Type="http://schemas.openxmlformats.org/officeDocument/2006/relationships/ctrlProp" Target="../ctrlProps/ctrlProp33.xml"/><Relationship Id="rId137" Type="http://schemas.openxmlformats.org/officeDocument/2006/relationships/ctrlProp" Target="../ctrlProps/ctrlProp54.xml"/><Relationship Id="rId158" Type="http://schemas.openxmlformats.org/officeDocument/2006/relationships/ctrlProp" Target="../ctrlProps/ctrlProp75.xml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62" Type="http://schemas.openxmlformats.org/officeDocument/2006/relationships/control" Target="../activeX/activeX30.xml"/><Relationship Id="rId83" Type="http://schemas.openxmlformats.org/officeDocument/2006/relationships/image" Target="../media/image41.emf"/><Relationship Id="rId88" Type="http://schemas.openxmlformats.org/officeDocument/2006/relationships/ctrlProp" Target="../ctrlProps/ctrlProp5.xml"/><Relationship Id="rId111" Type="http://schemas.openxmlformats.org/officeDocument/2006/relationships/ctrlProp" Target="../ctrlProps/ctrlProp28.xml"/><Relationship Id="rId132" Type="http://schemas.openxmlformats.org/officeDocument/2006/relationships/ctrlProp" Target="../ctrlProps/ctrlProp49.xml"/><Relationship Id="rId153" Type="http://schemas.openxmlformats.org/officeDocument/2006/relationships/ctrlProp" Target="../ctrlProps/ctrlProp70.xml"/><Relationship Id="rId174" Type="http://schemas.openxmlformats.org/officeDocument/2006/relationships/ctrlProp" Target="../ctrlProps/ctrlProp91.xml"/><Relationship Id="rId15" Type="http://schemas.openxmlformats.org/officeDocument/2006/relationships/image" Target="../media/image7.emf"/><Relationship Id="rId36" Type="http://schemas.openxmlformats.org/officeDocument/2006/relationships/control" Target="../activeX/activeX17.xml"/><Relationship Id="rId57" Type="http://schemas.openxmlformats.org/officeDocument/2006/relationships/image" Target="../media/image28.emf"/><Relationship Id="rId106" Type="http://schemas.openxmlformats.org/officeDocument/2006/relationships/ctrlProp" Target="../ctrlProps/ctrlProp23.xml"/><Relationship Id="rId127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L35"/>
  <sheetViews>
    <sheetView tabSelected="1" topLeftCell="B1" zoomScale="180" zoomScaleNormal="180" workbookViewId="0">
      <selection activeCell="D10" sqref="D10"/>
    </sheetView>
  </sheetViews>
  <sheetFormatPr defaultRowHeight="15" x14ac:dyDescent="0.25"/>
  <cols>
    <col min="1" max="1" width="6.85546875" style="13" hidden="1" customWidth="1"/>
    <col min="2" max="2" width="5.85546875" style="13" customWidth="1"/>
    <col min="3" max="3" width="4.140625" style="13" customWidth="1"/>
    <col min="4" max="4" width="8.42578125" style="13" customWidth="1"/>
    <col min="5" max="5" width="1.28515625" style="13" customWidth="1"/>
    <col min="6" max="6" width="6.28515625" style="13" customWidth="1"/>
    <col min="7" max="7" width="1.28515625" style="13" customWidth="1"/>
    <col min="8" max="8" width="16.28515625" style="13" customWidth="1"/>
    <col min="9" max="9" width="15.42578125" style="13" customWidth="1"/>
    <col min="10" max="10" width="6.85546875" style="13" customWidth="1"/>
    <col min="11" max="11" width="5.85546875" style="13" customWidth="1"/>
    <col min="12" max="12" width="6.140625" style="13" customWidth="1"/>
    <col min="13" max="16384" width="9.140625" style="13"/>
  </cols>
  <sheetData>
    <row r="3" spans="1:12" ht="15.75" thickBot="1" x14ac:dyDescent="0.3"/>
    <row r="4" spans="1:12" ht="15.75" thickBot="1" x14ac:dyDescent="0.3">
      <c r="J4" s="83" t="s">
        <v>37</v>
      </c>
      <c r="K4" s="84"/>
      <c r="L4" s="85"/>
    </row>
    <row r="5" spans="1:12" ht="7.5" customHeight="1" x14ac:dyDescent="0.25"/>
    <row r="6" spans="1:12" ht="9.75" customHeight="1" x14ac:dyDescent="0.25"/>
    <row r="7" spans="1:12" x14ac:dyDescent="0.25">
      <c r="A7" s="13" t="s">
        <v>35</v>
      </c>
    </row>
    <row r="8" spans="1:12" x14ac:dyDescent="0.25">
      <c r="A8" s="13" t="b">
        <f>IF(D10="Jan", 1, IF(D10="Feb", 2, IF(D10="Mar", 3, IF(D10="Apr", 4, IF(D10="May", 5, IF(D10="Jun", 6, IF(D10="Jul", 7, IF(D10="Aug", 8, IF(D10="Sep", 9, IF(D10="Oct", 10, IF(D10="Nov", 11, IF(D10="Dec", 12))))))))))))</f>
        <v>0</v>
      </c>
    </row>
    <row r="9" spans="1:12" ht="12.75" customHeight="1" x14ac:dyDescent="0.35">
      <c r="A9" s="13" t="s">
        <v>36</v>
      </c>
      <c r="D9" s="14" t="s">
        <v>40</v>
      </c>
      <c r="E9" s="15"/>
      <c r="F9" s="16" t="s">
        <v>41</v>
      </c>
      <c r="G9" s="17"/>
      <c r="H9" s="14" t="s">
        <v>43</v>
      </c>
      <c r="I9" s="18" t="s">
        <v>42</v>
      </c>
      <c r="J9" s="19"/>
    </row>
    <row r="10" spans="1:12" ht="6.75" customHeight="1" x14ac:dyDescent="0.25">
      <c r="A10" s="13" t="b">
        <f>IF(F10=2016, 16, IF(F10=2017, 17))</f>
        <v>0</v>
      </c>
      <c r="D10" s="28"/>
      <c r="E10" s="54" t="str">
        <f>HYPERLINK("#"&amp;ADDRESS(ROW(),COLUMN()-1),"q")</f>
        <v>q</v>
      </c>
      <c r="F10" s="29"/>
      <c r="G10" s="54" t="str">
        <f>HYPERLINK("#"&amp;ADDRESS(ROW(),COLUMN()-1),"q")</f>
        <v>q</v>
      </c>
      <c r="H10" s="30"/>
      <c r="I10" s="31"/>
      <c r="J10" s="20"/>
    </row>
    <row r="11" spans="1:12" ht="15.75" thickBot="1" x14ac:dyDescent="0.3"/>
    <row r="12" spans="1:12" x14ac:dyDescent="0.25">
      <c r="C12" s="21" t="s">
        <v>44</v>
      </c>
      <c r="D12" s="22"/>
      <c r="E12" s="22"/>
      <c r="F12" s="22" t="s">
        <v>45</v>
      </c>
      <c r="G12" s="22"/>
      <c r="H12" s="22"/>
      <c r="I12" s="22"/>
      <c r="J12" s="32"/>
    </row>
    <row r="13" spans="1:12" x14ac:dyDescent="0.25">
      <c r="C13" s="23"/>
      <c r="D13" s="24" t="s">
        <v>64</v>
      </c>
      <c r="E13" s="24"/>
      <c r="F13" s="24"/>
      <c r="G13" s="24"/>
      <c r="H13" s="24"/>
      <c r="I13" s="24"/>
      <c r="J13" s="33"/>
    </row>
    <row r="14" spans="1:12" ht="15.75" thickBot="1" x14ac:dyDescent="0.3">
      <c r="C14" s="25"/>
      <c r="D14" s="26" t="s">
        <v>46</v>
      </c>
      <c r="E14" s="26"/>
      <c r="F14" s="26"/>
      <c r="G14" s="26"/>
      <c r="H14" s="26"/>
      <c r="I14" s="26"/>
      <c r="J14" s="34"/>
    </row>
    <row r="15" spans="1:12" x14ac:dyDescent="0.25">
      <c r="D15" s="24"/>
      <c r="E15" s="24"/>
      <c r="F15" s="24"/>
      <c r="G15" s="24"/>
      <c r="H15" s="24"/>
      <c r="I15" s="24"/>
      <c r="J15" s="24"/>
    </row>
    <row r="17" spans="1:2" ht="18" customHeight="1" x14ac:dyDescent="0.25">
      <c r="A17" s="13">
        <v>2017</v>
      </c>
    </row>
    <row r="18" spans="1:2" x14ac:dyDescent="0.25">
      <c r="A18" s="13">
        <v>2018</v>
      </c>
    </row>
    <row r="19" spans="1:2" x14ac:dyDescent="0.25">
      <c r="A19" s="13" t="str">
        <f>LEFT(H10, 11)</f>
        <v/>
      </c>
    </row>
    <row r="20" spans="1:2" x14ac:dyDescent="0.25">
      <c r="A20" s="13" t="str">
        <f>LEFT(I10, 1)</f>
        <v/>
      </c>
    </row>
    <row r="22" spans="1:2" x14ac:dyDescent="0.25">
      <c r="B22" s="27"/>
    </row>
    <row r="24" spans="1:2" x14ac:dyDescent="0.25">
      <c r="A24" s="13" t="s">
        <v>23</v>
      </c>
    </row>
    <row r="25" spans="1:2" x14ac:dyDescent="0.25">
      <c r="A25" s="13" t="s">
        <v>24</v>
      </c>
    </row>
    <row r="26" spans="1:2" x14ac:dyDescent="0.25">
      <c r="A26" s="13" t="s">
        <v>34</v>
      </c>
    </row>
    <row r="27" spans="1:2" x14ac:dyDescent="0.25">
      <c r="A27" s="13" t="s">
        <v>25</v>
      </c>
    </row>
    <row r="28" spans="1:2" x14ac:dyDescent="0.25">
      <c r="A28" s="13" t="s">
        <v>26</v>
      </c>
    </row>
    <row r="29" spans="1:2" x14ac:dyDescent="0.25">
      <c r="A29" s="13" t="s">
        <v>32</v>
      </c>
    </row>
    <row r="30" spans="1:2" x14ac:dyDescent="0.25">
      <c r="A30" s="13" t="s">
        <v>33</v>
      </c>
    </row>
    <row r="31" spans="1:2" x14ac:dyDescent="0.25">
      <c r="A31" s="13" t="s">
        <v>27</v>
      </c>
    </row>
    <row r="32" spans="1:2" x14ac:dyDescent="0.25">
      <c r="A32" s="13" t="s">
        <v>31</v>
      </c>
    </row>
    <row r="33" spans="1:1" x14ac:dyDescent="0.25">
      <c r="A33" s="13" t="s">
        <v>28</v>
      </c>
    </row>
    <row r="34" spans="1:1" x14ac:dyDescent="0.25">
      <c r="A34" s="13" t="s">
        <v>29</v>
      </c>
    </row>
    <row r="35" spans="1:1" x14ac:dyDescent="0.25">
      <c r="A35" s="13" t="s">
        <v>30</v>
      </c>
    </row>
  </sheetData>
  <sheetProtection password="A2E9" sheet="1" objects="1" scenarios="1" selectLockedCells="1"/>
  <mergeCells count="1">
    <mergeCell ref="J4:L4"/>
  </mergeCells>
  <dataValidations count="2">
    <dataValidation type="list" allowBlank="1" showInputMessage="1" showErrorMessage="1" sqref="F10">
      <formula1>$A$17:$A$18</formula1>
    </dataValidation>
    <dataValidation type="list" allowBlank="1" showInputMessage="1" showErrorMessage="1" sqref="D10">
      <formula1>A24:A35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L92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P2" sqref="P2:R2"/>
    </sheetView>
  </sheetViews>
  <sheetFormatPr defaultRowHeight="12.75" x14ac:dyDescent="0.2"/>
  <cols>
    <col min="1" max="1" width="24" style="11" customWidth="1"/>
    <col min="2" max="32" width="4.28515625" style="11" customWidth="1"/>
    <col min="33" max="33" width="7.140625" style="11" customWidth="1"/>
    <col min="34" max="220" width="9.140625" style="11"/>
    <col min="221" max="221" width="18.85546875" style="11" customWidth="1"/>
    <col min="222" max="222" width="3.5703125" style="11" customWidth="1"/>
    <col min="223" max="223" width="3.85546875" style="11" customWidth="1"/>
    <col min="224" max="252" width="3.5703125" style="11" customWidth="1"/>
    <col min="253" max="253" width="7.140625" style="11" customWidth="1"/>
    <col min="254" max="476" width="9.140625" style="11"/>
    <col min="477" max="477" width="18.85546875" style="11" customWidth="1"/>
    <col min="478" max="478" width="3.5703125" style="11" customWidth="1"/>
    <col min="479" max="479" width="3.85546875" style="11" customWidth="1"/>
    <col min="480" max="508" width="3.5703125" style="11" customWidth="1"/>
    <col min="509" max="509" width="7.140625" style="11" customWidth="1"/>
    <col min="510" max="732" width="9.140625" style="11"/>
    <col min="733" max="733" width="18.85546875" style="11" customWidth="1"/>
    <col min="734" max="734" width="3.5703125" style="11" customWidth="1"/>
    <col min="735" max="735" width="3.85546875" style="11" customWidth="1"/>
    <col min="736" max="764" width="3.5703125" style="11" customWidth="1"/>
    <col min="765" max="765" width="7.140625" style="11" customWidth="1"/>
    <col min="766" max="988" width="9.140625" style="11"/>
    <col min="989" max="989" width="18.85546875" style="11" customWidth="1"/>
    <col min="990" max="990" width="3.5703125" style="11" customWidth="1"/>
    <col min="991" max="991" width="3.85546875" style="11" customWidth="1"/>
    <col min="992" max="1020" width="3.5703125" style="11" customWidth="1"/>
    <col min="1021" max="1021" width="7.140625" style="11" customWidth="1"/>
    <col min="1022" max="1244" width="9.140625" style="11"/>
    <col min="1245" max="1245" width="18.85546875" style="11" customWidth="1"/>
    <col min="1246" max="1246" width="3.5703125" style="11" customWidth="1"/>
    <col min="1247" max="1247" width="3.85546875" style="11" customWidth="1"/>
    <col min="1248" max="1276" width="3.5703125" style="11" customWidth="1"/>
    <col min="1277" max="1277" width="7.140625" style="11" customWidth="1"/>
    <col min="1278" max="1500" width="9.140625" style="11"/>
    <col min="1501" max="1501" width="18.85546875" style="11" customWidth="1"/>
    <col min="1502" max="1502" width="3.5703125" style="11" customWidth="1"/>
    <col min="1503" max="1503" width="3.85546875" style="11" customWidth="1"/>
    <col min="1504" max="1532" width="3.5703125" style="11" customWidth="1"/>
    <col min="1533" max="1533" width="7.140625" style="11" customWidth="1"/>
    <col min="1534" max="1756" width="9.140625" style="11"/>
    <col min="1757" max="1757" width="18.85546875" style="11" customWidth="1"/>
    <col min="1758" max="1758" width="3.5703125" style="11" customWidth="1"/>
    <col min="1759" max="1759" width="3.85546875" style="11" customWidth="1"/>
    <col min="1760" max="1788" width="3.5703125" style="11" customWidth="1"/>
    <col min="1789" max="1789" width="7.140625" style="11" customWidth="1"/>
    <col min="1790" max="2012" width="9.140625" style="11"/>
    <col min="2013" max="2013" width="18.85546875" style="11" customWidth="1"/>
    <col min="2014" max="2014" width="3.5703125" style="11" customWidth="1"/>
    <col min="2015" max="2015" width="3.85546875" style="11" customWidth="1"/>
    <col min="2016" max="2044" width="3.5703125" style="11" customWidth="1"/>
    <col min="2045" max="2045" width="7.140625" style="11" customWidth="1"/>
    <col min="2046" max="2268" width="9.140625" style="11"/>
    <col min="2269" max="2269" width="18.85546875" style="11" customWidth="1"/>
    <col min="2270" max="2270" width="3.5703125" style="11" customWidth="1"/>
    <col min="2271" max="2271" width="3.85546875" style="11" customWidth="1"/>
    <col min="2272" max="2300" width="3.5703125" style="11" customWidth="1"/>
    <col min="2301" max="2301" width="7.140625" style="11" customWidth="1"/>
    <col min="2302" max="2524" width="9.140625" style="11"/>
    <col min="2525" max="2525" width="18.85546875" style="11" customWidth="1"/>
    <col min="2526" max="2526" width="3.5703125" style="11" customWidth="1"/>
    <col min="2527" max="2527" width="3.85546875" style="11" customWidth="1"/>
    <col min="2528" max="2556" width="3.5703125" style="11" customWidth="1"/>
    <col min="2557" max="2557" width="7.140625" style="11" customWidth="1"/>
    <col min="2558" max="2780" width="9.140625" style="11"/>
    <col min="2781" max="2781" width="18.85546875" style="11" customWidth="1"/>
    <col min="2782" max="2782" width="3.5703125" style="11" customWidth="1"/>
    <col min="2783" max="2783" width="3.85546875" style="11" customWidth="1"/>
    <col min="2784" max="2812" width="3.5703125" style="11" customWidth="1"/>
    <col min="2813" max="2813" width="7.140625" style="11" customWidth="1"/>
    <col min="2814" max="3036" width="9.140625" style="11"/>
    <col min="3037" max="3037" width="18.85546875" style="11" customWidth="1"/>
    <col min="3038" max="3038" width="3.5703125" style="11" customWidth="1"/>
    <col min="3039" max="3039" width="3.85546875" style="11" customWidth="1"/>
    <col min="3040" max="3068" width="3.5703125" style="11" customWidth="1"/>
    <col min="3069" max="3069" width="7.140625" style="11" customWidth="1"/>
    <col min="3070" max="3292" width="9.140625" style="11"/>
    <col min="3293" max="3293" width="18.85546875" style="11" customWidth="1"/>
    <col min="3294" max="3294" width="3.5703125" style="11" customWidth="1"/>
    <col min="3295" max="3295" width="3.85546875" style="11" customWidth="1"/>
    <col min="3296" max="3324" width="3.5703125" style="11" customWidth="1"/>
    <col min="3325" max="3325" width="7.140625" style="11" customWidth="1"/>
    <col min="3326" max="3548" width="9.140625" style="11"/>
    <col min="3549" max="3549" width="18.85546875" style="11" customWidth="1"/>
    <col min="3550" max="3550" width="3.5703125" style="11" customWidth="1"/>
    <col min="3551" max="3551" width="3.85546875" style="11" customWidth="1"/>
    <col min="3552" max="3580" width="3.5703125" style="11" customWidth="1"/>
    <col min="3581" max="3581" width="7.140625" style="11" customWidth="1"/>
    <col min="3582" max="3804" width="9.140625" style="11"/>
    <col min="3805" max="3805" width="18.85546875" style="11" customWidth="1"/>
    <col min="3806" max="3806" width="3.5703125" style="11" customWidth="1"/>
    <col min="3807" max="3807" width="3.85546875" style="11" customWidth="1"/>
    <col min="3808" max="3836" width="3.5703125" style="11" customWidth="1"/>
    <col min="3837" max="3837" width="7.140625" style="11" customWidth="1"/>
    <col min="3838" max="4060" width="9.140625" style="11"/>
    <col min="4061" max="4061" width="18.85546875" style="11" customWidth="1"/>
    <col min="4062" max="4062" width="3.5703125" style="11" customWidth="1"/>
    <col min="4063" max="4063" width="3.85546875" style="11" customWidth="1"/>
    <col min="4064" max="4092" width="3.5703125" style="11" customWidth="1"/>
    <col min="4093" max="4093" width="7.140625" style="11" customWidth="1"/>
    <col min="4094" max="4316" width="9.140625" style="11"/>
    <col min="4317" max="4317" width="18.85546875" style="11" customWidth="1"/>
    <col min="4318" max="4318" width="3.5703125" style="11" customWidth="1"/>
    <col min="4319" max="4319" width="3.85546875" style="11" customWidth="1"/>
    <col min="4320" max="4348" width="3.5703125" style="11" customWidth="1"/>
    <col min="4349" max="4349" width="7.140625" style="11" customWidth="1"/>
    <col min="4350" max="4572" width="9.140625" style="11"/>
    <col min="4573" max="4573" width="18.85546875" style="11" customWidth="1"/>
    <col min="4574" max="4574" width="3.5703125" style="11" customWidth="1"/>
    <col min="4575" max="4575" width="3.85546875" style="11" customWidth="1"/>
    <col min="4576" max="4604" width="3.5703125" style="11" customWidth="1"/>
    <col min="4605" max="4605" width="7.140625" style="11" customWidth="1"/>
    <col min="4606" max="4828" width="9.140625" style="11"/>
    <col min="4829" max="4829" width="18.85546875" style="11" customWidth="1"/>
    <col min="4830" max="4830" width="3.5703125" style="11" customWidth="1"/>
    <col min="4831" max="4831" width="3.85546875" style="11" customWidth="1"/>
    <col min="4832" max="4860" width="3.5703125" style="11" customWidth="1"/>
    <col min="4861" max="4861" width="7.140625" style="11" customWidth="1"/>
    <col min="4862" max="5084" width="9.140625" style="11"/>
    <col min="5085" max="5085" width="18.85546875" style="11" customWidth="1"/>
    <col min="5086" max="5086" width="3.5703125" style="11" customWidth="1"/>
    <col min="5087" max="5087" width="3.85546875" style="11" customWidth="1"/>
    <col min="5088" max="5116" width="3.5703125" style="11" customWidth="1"/>
    <col min="5117" max="5117" width="7.140625" style="11" customWidth="1"/>
    <col min="5118" max="5340" width="9.140625" style="11"/>
    <col min="5341" max="5341" width="18.85546875" style="11" customWidth="1"/>
    <col min="5342" max="5342" width="3.5703125" style="11" customWidth="1"/>
    <col min="5343" max="5343" width="3.85546875" style="11" customWidth="1"/>
    <col min="5344" max="5372" width="3.5703125" style="11" customWidth="1"/>
    <col min="5373" max="5373" width="7.140625" style="11" customWidth="1"/>
    <col min="5374" max="5596" width="9.140625" style="11"/>
    <col min="5597" max="5597" width="18.85546875" style="11" customWidth="1"/>
    <col min="5598" max="5598" width="3.5703125" style="11" customWidth="1"/>
    <col min="5599" max="5599" width="3.85546875" style="11" customWidth="1"/>
    <col min="5600" max="5628" width="3.5703125" style="11" customWidth="1"/>
    <col min="5629" max="5629" width="7.140625" style="11" customWidth="1"/>
    <col min="5630" max="5852" width="9.140625" style="11"/>
    <col min="5853" max="5853" width="18.85546875" style="11" customWidth="1"/>
    <col min="5854" max="5854" width="3.5703125" style="11" customWidth="1"/>
    <col min="5855" max="5855" width="3.85546875" style="11" customWidth="1"/>
    <col min="5856" max="5884" width="3.5703125" style="11" customWidth="1"/>
    <col min="5885" max="5885" width="7.140625" style="11" customWidth="1"/>
    <col min="5886" max="6108" width="9.140625" style="11"/>
    <col min="6109" max="6109" width="18.85546875" style="11" customWidth="1"/>
    <col min="6110" max="6110" width="3.5703125" style="11" customWidth="1"/>
    <col min="6111" max="6111" width="3.85546875" style="11" customWidth="1"/>
    <col min="6112" max="6140" width="3.5703125" style="11" customWidth="1"/>
    <col min="6141" max="6141" width="7.140625" style="11" customWidth="1"/>
    <col min="6142" max="6364" width="9.140625" style="11"/>
    <col min="6365" max="6365" width="18.85546875" style="11" customWidth="1"/>
    <col min="6366" max="6366" width="3.5703125" style="11" customWidth="1"/>
    <col min="6367" max="6367" width="3.85546875" style="11" customWidth="1"/>
    <col min="6368" max="6396" width="3.5703125" style="11" customWidth="1"/>
    <col min="6397" max="6397" width="7.140625" style="11" customWidth="1"/>
    <col min="6398" max="6620" width="9.140625" style="11"/>
    <col min="6621" max="6621" width="18.85546875" style="11" customWidth="1"/>
    <col min="6622" max="6622" width="3.5703125" style="11" customWidth="1"/>
    <col min="6623" max="6623" width="3.85546875" style="11" customWidth="1"/>
    <col min="6624" max="6652" width="3.5703125" style="11" customWidth="1"/>
    <col min="6653" max="6653" width="7.140625" style="11" customWidth="1"/>
    <col min="6654" max="6876" width="9.140625" style="11"/>
    <col min="6877" max="6877" width="18.85546875" style="11" customWidth="1"/>
    <col min="6878" max="6878" width="3.5703125" style="11" customWidth="1"/>
    <col min="6879" max="6879" width="3.85546875" style="11" customWidth="1"/>
    <col min="6880" max="6908" width="3.5703125" style="11" customWidth="1"/>
    <col min="6909" max="6909" width="7.140625" style="11" customWidth="1"/>
    <col min="6910" max="7132" width="9.140625" style="11"/>
    <col min="7133" max="7133" width="18.85546875" style="11" customWidth="1"/>
    <col min="7134" max="7134" width="3.5703125" style="11" customWidth="1"/>
    <col min="7135" max="7135" width="3.85546875" style="11" customWidth="1"/>
    <col min="7136" max="7164" width="3.5703125" style="11" customWidth="1"/>
    <col min="7165" max="7165" width="7.140625" style="11" customWidth="1"/>
    <col min="7166" max="7388" width="9.140625" style="11"/>
    <col min="7389" max="7389" width="18.85546875" style="11" customWidth="1"/>
    <col min="7390" max="7390" width="3.5703125" style="11" customWidth="1"/>
    <col min="7391" max="7391" width="3.85546875" style="11" customWidth="1"/>
    <col min="7392" max="7420" width="3.5703125" style="11" customWidth="1"/>
    <col min="7421" max="7421" width="7.140625" style="11" customWidth="1"/>
    <col min="7422" max="7644" width="9.140625" style="11"/>
    <col min="7645" max="7645" width="18.85546875" style="11" customWidth="1"/>
    <col min="7646" max="7646" width="3.5703125" style="11" customWidth="1"/>
    <col min="7647" max="7647" width="3.85546875" style="11" customWidth="1"/>
    <col min="7648" max="7676" width="3.5703125" style="11" customWidth="1"/>
    <col min="7677" max="7677" width="7.140625" style="11" customWidth="1"/>
    <col min="7678" max="7900" width="9.140625" style="11"/>
    <col min="7901" max="7901" width="18.85546875" style="11" customWidth="1"/>
    <col min="7902" max="7902" width="3.5703125" style="11" customWidth="1"/>
    <col min="7903" max="7903" width="3.85546875" style="11" customWidth="1"/>
    <col min="7904" max="7932" width="3.5703125" style="11" customWidth="1"/>
    <col min="7933" max="7933" width="7.140625" style="11" customWidth="1"/>
    <col min="7934" max="8156" width="9.140625" style="11"/>
    <col min="8157" max="8157" width="18.85546875" style="11" customWidth="1"/>
    <col min="8158" max="8158" width="3.5703125" style="11" customWidth="1"/>
    <col min="8159" max="8159" width="3.85546875" style="11" customWidth="1"/>
    <col min="8160" max="8188" width="3.5703125" style="11" customWidth="1"/>
    <col min="8189" max="8189" width="7.140625" style="11" customWidth="1"/>
    <col min="8190" max="8412" width="9.140625" style="11"/>
    <col min="8413" max="8413" width="18.85546875" style="11" customWidth="1"/>
    <col min="8414" max="8414" width="3.5703125" style="11" customWidth="1"/>
    <col min="8415" max="8415" width="3.85546875" style="11" customWidth="1"/>
    <col min="8416" max="8444" width="3.5703125" style="11" customWidth="1"/>
    <col min="8445" max="8445" width="7.140625" style="11" customWidth="1"/>
    <col min="8446" max="8668" width="9.140625" style="11"/>
    <col min="8669" max="8669" width="18.85546875" style="11" customWidth="1"/>
    <col min="8670" max="8670" width="3.5703125" style="11" customWidth="1"/>
    <col min="8671" max="8671" width="3.85546875" style="11" customWidth="1"/>
    <col min="8672" max="8700" width="3.5703125" style="11" customWidth="1"/>
    <col min="8701" max="8701" width="7.140625" style="11" customWidth="1"/>
    <col min="8702" max="8924" width="9.140625" style="11"/>
    <col min="8925" max="8925" width="18.85546875" style="11" customWidth="1"/>
    <col min="8926" max="8926" width="3.5703125" style="11" customWidth="1"/>
    <col min="8927" max="8927" width="3.85546875" style="11" customWidth="1"/>
    <col min="8928" max="8956" width="3.5703125" style="11" customWidth="1"/>
    <col min="8957" max="8957" width="7.140625" style="11" customWidth="1"/>
    <col min="8958" max="9180" width="9.140625" style="11"/>
    <col min="9181" max="9181" width="18.85546875" style="11" customWidth="1"/>
    <col min="9182" max="9182" width="3.5703125" style="11" customWidth="1"/>
    <col min="9183" max="9183" width="3.85546875" style="11" customWidth="1"/>
    <col min="9184" max="9212" width="3.5703125" style="11" customWidth="1"/>
    <col min="9213" max="9213" width="7.140625" style="11" customWidth="1"/>
    <col min="9214" max="9436" width="9.140625" style="11"/>
    <col min="9437" max="9437" width="18.85546875" style="11" customWidth="1"/>
    <col min="9438" max="9438" width="3.5703125" style="11" customWidth="1"/>
    <col min="9439" max="9439" width="3.85546875" style="11" customWidth="1"/>
    <col min="9440" max="9468" width="3.5703125" style="11" customWidth="1"/>
    <col min="9469" max="9469" width="7.140625" style="11" customWidth="1"/>
    <col min="9470" max="9692" width="9.140625" style="11"/>
    <col min="9693" max="9693" width="18.85546875" style="11" customWidth="1"/>
    <col min="9694" max="9694" width="3.5703125" style="11" customWidth="1"/>
    <col min="9695" max="9695" width="3.85546875" style="11" customWidth="1"/>
    <col min="9696" max="9724" width="3.5703125" style="11" customWidth="1"/>
    <col min="9725" max="9725" width="7.140625" style="11" customWidth="1"/>
    <col min="9726" max="9948" width="9.140625" style="11"/>
    <col min="9949" max="9949" width="18.85546875" style="11" customWidth="1"/>
    <col min="9950" max="9950" width="3.5703125" style="11" customWidth="1"/>
    <col min="9951" max="9951" width="3.85546875" style="11" customWidth="1"/>
    <col min="9952" max="9980" width="3.5703125" style="11" customWidth="1"/>
    <col min="9981" max="9981" width="7.140625" style="11" customWidth="1"/>
    <col min="9982" max="10204" width="9.140625" style="11"/>
    <col min="10205" max="10205" width="18.85546875" style="11" customWidth="1"/>
    <col min="10206" max="10206" width="3.5703125" style="11" customWidth="1"/>
    <col min="10207" max="10207" width="3.85546875" style="11" customWidth="1"/>
    <col min="10208" max="10236" width="3.5703125" style="11" customWidth="1"/>
    <col min="10237" max="10237" width="7.140625" style="11" customWidth="1"/>
    <col min="10238" max="10460" width="9.140625" style="11"/>
    <col min="10461" max="10461" width="18.85546875" style="11" customWidth="1"/>
    <col min="10462" max="10462" width="3.5703125" style="11" customWidth="1"/>
    <col min="10463" max="10463" width="3.85546875" style="11" customWidth="1"/>
    <col min="10464" max="10492" width="3.5703125" style="11" customWidth="1"/>
    <col min="10493" max="10493" width="7.140625" style="11" customWidth="1"/>
    <col min="10494" max="10716" width="9.140625" style="11"/>
    <col min="10717" max="10717" width="18.85546875" style="11" customWidth="1"/>
    <col min="10718" max="10718" width="3.5703125" style="11" customWidth="1"/>
    <col min="10719" max="10719" width="3.85546875" style="11" customWidth="1"/>
    <col min="10720" max="10748" width="3.5703125" style="11" customWidth="1"/>
    <col min="10749" max="10749" width="7.140625" style="11" customWidth="1"/>
    <col min="10750" max="10972" width="9.140625" style="11"/>
    <col min="10973" max="10973" width="18.85546875" style="11" customWidth="1"/>
    <col min="10974" max="10974" width="3.5703125" style="11" customWidth="1"/>
    <col min="10975" max="10975" width="3.85546875" style="11" customWidth="1"/>
    <col min="10976" max="11004" width="3.5703125" style="11" customWidth="1"/>
    <col min="11005" max="11005" width="7.140625" style="11" customWidth="1"/>
    <col min="11006" max="11228" width="9.140625" style="11"/>
    <col min="11229" max="11229" width="18.85546875" style="11" customWidth="1"/>
    <col min="11230" max="11230" width="3.5703125" style="11" customWidth="1"/>
    <col min="11231" max="11231" width="3.85546875" style="11" customWidth="1"/>
    <col min="11232" max="11260" width="3.5703125" style="11" customWidth="1"/>
    <col min="11261" max="11261" width="7.140625" style="11" customWidth="1"/>
    <col min="11262" max="11484" width="9.140625" style="11"/>
    <col min="11485" max="11485" width="18.85546875" style="11" customWidth="1"/>
    <col min="11486" max="11486" width="3.5703125" style="11" customWidth="1"/>
    <col min="11487" max="11487" width="3.85546875" style="11" customWidth="1"/>
    <col min="11488" max="11516" width="3.5703125" style="11" customWidth="1"/>
    <col min="11517" max="11517" width="7.140625" style="11" customWidth="1"/>
    <col min="11518" max="11740" width="9.140625" style="11"/>
    <col min="11741" max="11741" width="18.85546875" style="11" customWidth="1"/>
    <col min="11742" max="11742" width="3.5703125" style="11" customWidth="1"/>
    <col min="11743" max="11743" width="3.85546875" style="11" customWidth="1"/>
    <col min="11744" max="11772" width="3.5703125" style="11" customWidth="1"/>
    <col min="11773" max="11773" width="7.140625" style="11" customWidth="1"/>
    <col min="11774" max="11996" width="9.140625" style="11"/>
    <col min="11997" max="11997" width="18.85546875" style="11" customWidth="1"/>
    <col min="11998" max="11998" width="3.5703125" style="11" customWidth="1"/>
    <col min="11999" max="11999" width="3.85546875" style="11" customWidth="1"/>
    <col min="12000" max="12028" width="3.5703125" style="11" customWidth="1"/>
    <col min="12029" max="12029" width="7.140625" style="11" customWidth="1"/>
    <col min="12030" max="12252" width="9.140625" style="11"/>
    <col min="12253" max="12253" width="18.85546875" style="11" customWidth="1"/>
    <col min="12254" max="12254" width="3.5703125" style="11" customWidth="1"/>
    <col min="12255" max="12255" width="3.85546875" style="11" customWidth="1"/>
    <col min="12256" max="12284" width="3.5703125" style="11" customWidth="1"/>
    <col min="12285" max="12285" width="7.140625" style="11" customWidth="1"/>
    <col min="12286" max="12508" width="9.140625" style="11"/>
    <col min="12509" max="12509" width="18.85546875" style="11" customWidth="1"/>
    <col min="12510" max="12510" width="3.5703125" style="11" customWidth="1"/>
    <col min="12511" max="12511" width="3.85546875" style="11" customWidth="1"/>
    <col min="12512" max="12540" width="3.5703125" style="11" customWidth="1"/>
    <col min="12541" max="12541" width="7.140625" style="11" customWidth="1"/>
    <col min="12542" max="12764" width="9.140625" style="11"/>
    <col min="12765" max="12765" width="18.85546875" style="11" customWidth="1"/>
    <col min="12766" max="12766" width="3.5703125" style="11" customWidth="1"/>
    <col min="12767" max="12767" width="3.85546875" style="11" customWidth="1"/>
    <col min="12768" max="12796" width="3.5703125" style="11" customWidth="1"/>
    <col min="12797" max="12797" width="7.140625" style="11" customWidth="1"/>
    <col min="12798" max="13020" width="9.140625" style="11"/>
    <col min="13021" max="13021" width="18.85546875" style="11" customWidth="1"/>
    <col min="13022" max="13022" width="3.5703125" style="11" customWidth="1"/>
    <col min="13023" max="13023" width="3.85546875" style="11" customWidth="1"/>
    <col min="13024" max="13052" width="3.5703125" style="11" customWidth="1"/>
    <col min="13053" max="13053" width="7.140625" style="11" customWidth="1"/>
    <col min="13054" max="13276" width="9.140625" style="11"/>
    <col min="13277" max="13277" width="18.85546875" style="11" customWidth="1"/>
    <col min="13278" max="13278" width="3.5703125" style="11" customWidth="1"/>
    <col min="13279" max="13279" width="3.85546875" style="11" customWidth="1"/>
    <col min="13280" max="13308" width="3.5703125" style="11" customWidth="1"/>
    <col min="13309" max="13309" width="7.140625" style="11" customWidth="1"/>
    <col min="13310" max="13532" width="9.140625" style="11"/>
    <col min="13533" max="13533" width="18.85546875" style="11" customWidth="1"/>
    <col min="13534" max="13534" width="3.5703125" style="11" customWidth="1"/>
    <col min="13535" max="13535" width="3.85546875" style="11" customWidth="1"/>
    <col min="13536" max="13564" width="3.5703125" style="11" customWidth="1"/>
    <col min="13565" max="13565" width="7.140625" style="11" customWidth="1"/>
    <col min="13566" max="13788" width="9.140625" style="11"/>
    <col min="13789" max="13789" width="18.85546875" style="11" customWidth="1"/>
    <col min="13790" max="13790" width="3.5703125" style="11" customWidth="1"/>
    <col min="13791" max="13791" width="3.85546875" style="11" customWidth="1"/>
    <col min="13792" max="13820" width="3.5703125" style="11" customWidth="1"/>
    <col min="13821" max="13821" width="7.140625" style="11" customWidth="1"/>
    <col min="13822" max="14044" width="9.140625" style="11"/>
    <col min="14045" max="14045" width="18.85546875" style="11" customWidth="1"/>
    <col min="14046" max="14046" width="3.5703125" style="11" customWidth="1"/>
    <col min="14047" max="14047" width="3.85546875" style="11" customWidth="1"/>
    <col min="14048" max="14076" width="3.5703125" style="11" customWidth="1"/>
    <col min="14077" max="14077" width="7.140625" style="11" customWidth="1"/>
    <col min="14078" max="14300" width="9.140625" style="11"/>
    <col min="14301" max="14301" width="18.85546875" style="11" customWidth="1"/>
    <col min="14302" max="14302" width="3.5703125" style="11" customWidth="1"/>
    <col min="14303" max="14303" width="3.85546875" style="11" customWidth="1"/>
    <col min="14304" max="14332" width="3.5703125" style="11" customWidth="1"/>
    <col min="14333" max="14333" width="7.140625" style="11" customWidth="1"/>
    <col min="14334" max="14556" width="9.140625" style="11"/>
    <col min="14557" max="14557" width="18.85546875" style="11" customWidth="1"/>
    <col min="14558" max="14558" width="3.5703125" style="11" customWidth="1"/>
    <col min="14559" max="14559" width="3.85546875" style="11" customWidth="1"/>
    <col min="14560" max="14588" width="3.5703125" style="11" customWidth="1"/>
    <col min="14589" max="14589" width="7.140625" style="11" customWidth="1"/>
    <col min="14590" max="14812" width="9.140625" style="11"/>
    <col min="14813" max="14813" width="18.85546875" style="11" customWidth="1"/>
    <col min="14814" max="14814" width="3.5703125" style="11" customWidth="1"/>
    <col min="14815" max="14815" width="3.85546875" style="11" customWidth="1"/>
    <col min="14816" max="14844" width="3.5703125" style="11" customWidth="1"/>
    <col min="14845" max="14845" width="7.140625" style="11" customWidth="1"/>
    <col min="14846" max="15068" width="9.140625" style="11"/>
    <col min="15069" max="15069" width="18.85546875" style="11" customWidth="1"/>
    <col min="15070" max="15070" width="3.5703125" style="11" customWidth="1"/>
    <col min="15071" max="15071" width="3.85546875" style="11" customWidth="1"/>
    <col min="15072" max="15100" width="3.5703125" style="11" customWidth="1"/>
    <col min="15101" max="15101" width="7.140625" style="11" customWidth="1"/>
    <col min="15102" max="15324" width="9.140625" style="11"/>
    <col min="15325" max="15325" width="18.85546875" style="11" customWidth="1"/>
    <col min="15326" max="15326" width="3.5703125" style="11" customWidth="1"/>
    <col min="15327" max="15327" width="3.85546875" style="11" customWidth="1"/>
    <col min="15328" max="15356" width="3.5703125" style="11" customWidth="1"/>
    <col min="15357" max="15357" width="7.140625" style="11" customWidth="1"/>
    <col min="15358" max="15580" width="9.140625" style="11"/>
    <col min="15581" max="15581" width="18.85546875" style="11" customWidth="1"/>
    <col min="15582" max="15582" width="3.5703125" style="11" customWidth="1"/>
    <col min="15583" max="15583" width="3.85546875" style="11" customWidth="1"/>
    <col min="15584" max="15612" width="3.5703125" style="11" customWidth="1"/>
    <col min="15613" max="15613" width="7.140625" style="11" customWidth="1"/>
    <col min="15614" max="15836" width="9.140625" style="11"/>
    <col min="15837" max="15837" width="18.85546875" style="11" customWidth="1"/>
    <col min="15838" max="15838" width="3.5703125" style="11" customWidth="1"/>
    <col min="15839" max="15839" width="3.85546875" style="11" customWidth="1"/>
    <col min="15840" max="15868" width="3.5703125" style="11" customWidth="1"/>
    <col min="15869" max="15869" width="7.140625" style="11" customWidth="1"/>
    <col min="15870" max="16092" width="9.140625" style="11"/>
    <col min="16093" max="16093" width="18.85546875" style="11" customWidth="1"/>
    <col min="16094" max="16094" width="3.5703125" style="11" customWidth="1"/>
    <col min="16095" max="16095" width="3.85546875" style="11" customWidth="1"/>
    <col min="16096" max="16124" width="3.5703125" style="11" customWidth="1"/>
    <col min="16125" max="16125" width="7.140625" style="11" customWidth="1"/>
    <col min="16126" max="16384" width="9.140625" style="11"/>
  </cols>
  <sheetData>
    <row r="1" spans="1:38" ht="27.75" customHeight="1" x14ac:dyDescent="0.2">
      <c r="A1" s="82" t="s">
        <v>78</v>
      </c>
      <c r="B1" s="87" t="s">
        <v>79</v>
      </c>
      <c r="C1" s="88"/>
      <c r="D1" s="88"/>
      <c r="E1" s="88"/>
      <c r="F1" s="88"/>
      <c r="G1" s="88"/>
      <c r="H1" s="89"/>
      <c r="I1" s="86" t="s">
        <v>0</v>
      </c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148" t="s">
        <v>47</v>
      </c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30" t="s">
        <v>77</v>
      </c>
      <c r="AI1" s="130"/>
      <c r="AJ1" s="130"/>
      <c r="AK1" s="130"/>
      <c r="AL1" s="130"/>
    </row>
    <row r="2" spans="1:38" ht="15.75" customHeight="1" x14ac:dyDescent="0.2">
      <c r="A2" s="38" t="s">
        <v>1</v>
      </c>
      <c r="B2" s="36"/>
      <c r="C2" s="35" t="s">
        <v>2</v>
      </c>
      <c r="D2" s="36"/>
      <c r="E2" s="36" t="s">
        <v>3</v>
      </c>
      <c r="F2" s="36"/>
      <c r="G2" s="36"/>
      <c r="H2" s="158" t="s">
        <v>4</v>
      </c>
      <c r="I2" s="158"/>
      <c r="J2" s="158"/>
      <c r="K2" s="158"/>
      <c r="L2" s="158"/>
      <c r="M2" s="158"/>
      <c r="N2" s="158"/>
      <c r="O2" s="159"/>
      <c r="P2" s="166"/>
      <c r="Q2" s="167"/>
      <c r="R2" s="168"/>
      <c r="S2" s="152" t="s">
        <v>5</v>
      </c>
      <c r="T2" s="153"/>
      <c r="U2" s="150" t="s">
        <v>6</v>
      </c>
      <c r="V2" s="150"/>
      <c r="W2" s="151" t="s">
        <v>65</v>
      </c>
      <c r="X2" s="152"/>
      <c r="Y2" s="152"/>
      <c r="Z2" s="152"/>
      <c r="AA2" s="152"/>
      <c r="AB2" s="152"/>
      <c r="AC2" s="152"/>
      <c r="AD2" s="152"/>
      <c r="AE2" s="152"/>
      <c r="AF2" s="152"/>
      <c r="AG2" s="153"/>
      <c r="AH2" s="130"/>
      <c r="AI2" s="130"/>
      <c r="AJ2" s="130"/>
      <c r="AK2" s="130"/>
      <c r="AL2" s="130"/>
    </row>
    <row r="3" spans="1:38" ht="18" customHeight="1" x14ac:dyDescent="0.2">
      <c r="A3" s="1" t="s">
        <v>7</v>
      </c>
      <c r="B3" s="145" t="s">
        <v>63</v>
      </c>
      <c r="C3" s="146"/>
      <c r="D3" s="146"/>
      <c r="E3" s="146"/>
      <c r="F3" s="146"/>
      <c r="G3" s="147"/>
      <c r="H3" s="160"/>
      <c r="I3" s="161"/>
      <c r="J3" s="161"/>
      <c r="K3" s="161"/>
      <c r="L3" s="161"/>
      <c r="M3" s="161"/>
      <c r="N3" s="162"/>
      <c r="O3" s="160"/>
      <c r="P3" s="161"/>
      <c r="Q3" s="161"/>
      <c r="R3" s="161"/>
      <c r="S3" s="161"/>
      <c r="T3" s="161"/>
      <c r="U3" s="162"/>
      <c r="V3" s="145" t="s">
        <v>8</v>
      </c>
      <c r="W3" s="146"/>
      <c r="X3" s="163"/>
      <c r="Y3" s="164"/>
      <c r="Z3" s="164"/>
      <c r="AA3" s="164"/>
      <c r="AB3" s="164"/>
      <c r="AC3" s="164"/>
      <c r="AD3" s="164"/>
      <c r="AE3" s="164"/>
      <c r="AF3" s="164"/>
      <c r="AG3" s="165"/>
      <c r="AH3" s="131"/>
      <c r="AI3" s="131"/>
      <c r="AJ3" s="131"/>
      <c r="AK3" s="131"/>
      <c r="AL3" s="131"/>
    </row>
    <row r="4" spans="1:38" ht="17.25" customHeight="1" x14ac:dyDescent="0.2">
      <c r="A4" s="154" t="s">
        <v>9</v>
      </c>
      <c r="B4" s="142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4"/>
      <c r="AH4" s="132" t="s">
        <v>38</v>
      </c>
      <c r="AI4" s="132"/>
      <c r="AJ4" s="132"/>
      <c r="AK4" s="132"/>
      <c r="AL4" s="132"/>
    </row>
    <row r="5" spans="1:38" ht="16.5" customHeight="1" x14ac:dyDescent="0.2">
      <c r="A5" s="155"/>
      <c r="B5" s="139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1"/>
      <c r="Z5" s="156" t="s">
        <v>10</v>
      </c>
      <c r="AA5" s="157"/>
      <c r="AB5" s="139"/>
      <c r="AC5" s="140"/>
      <c r="AD5" s="140"/>
      <c r="AE5" s="140"/>
      <c r="AF5" s="140"/>
      <c r="AG5" s="141"/>
      <c r="AH5" s="119"/>
      <c r="AI5" s="119"/>
      <c r="AJ5" s="119"/>
      <c r="AK5" s="119"/>
      <c r="AL5" s="119"/>
    </row>
    <row r="6" spans="1:38" ht="18.75" customHeight="1" x14ac:dyDescent="0.2">
      <c r="A6" s="2" t="s">
        <v>11</v>
      </c>
      <c r="B6" s="121"/>
      <c r="C6" s="122"/>
      <c r="D6" s="123"/>
      <c r="E6" s="136" t="s">
        <v>12</v>
      </c>
      <c r="F6" s="137"/>
      <c r="G6" s="138"/>
      <c r="H6" s="133"/>
      <c r="I6" s="134"/>
      <c r="J6" s="134"/>
      <c r="K6" s="134"/>
      <c r="L6" s="134"/>
      <c r="M6" s="135"/>
      <c r="N6" s="136" t="s">
        <v>13</v>
      </c>
      <c r="O6" s="137"/>
      <c r="P6" s="138"/>
      <c r="Q6" s="133"/>
      <c r="R6" s="134"/>
      <c r="S6" s="134"/>
      <c r="T6" s="134"/>
      <c r="U6" s="134"/>
      <c r="V6" s="135"/>
      <c r="W6" s="145" t="s">
        <v>14</v>
      </c>
      <c r="X6" s="146"/>
      <c r="Y6" s="146"/>
      <c r="Z6" s="146"/>
      <c r="AA6" s="147"/>
      <c r="AB6" s="133"/>
      <c r="AC6" s="134"/>
      <c r="AD6" s="134"/>
      <c r="AE6" s="134"/>
      <c r="AF6" s="134"/>
      <c r="AG6" s="135"/>
      <c r="AH6" s="119"/>
      <c r="AI6" s="119"/>
      <c r="AJ6" s="119"/>
      <c r="AK6" s="119"/>
      <c r="AL6" s="119"/>
    </row>
    <row r="7" spans="1:38" s="12" customFormat="1" ht="13.5" customHeight="1" thickBot="1" x14ac:dyDescent="0.25">
      <c r="A7" s="3" t="s">
        <v>48</v>
      </c>
      <c r="B7" s="4">
        <v>1</v>
      </c>
      <c r="C7" s="4">
        <v>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4">
        <v>26</v>
      </c>
      <c r="AB7" s="4">
        <v>27</v>
      </c>
      <c r="AC7" s="4">
        <v>28</v>
      </c>
      <c r="AD7" s="4">
        <v>29</v>
      </c>
      <c r="AE7" s="4">
        <v>30</v>
      </c>
      <c r="AF7" s="4">
        <v>31</v>
      </c>
      <c r="AG7" s="5"/>
      <c r="AH7" s="119"/>
      <c r="AI7" s="119"/>
      <c r="AJ7" s="119"/>
      <c r="AK7" s="119"/>
      <c r="AL7" s="119"/>
    </row>
    <row r="8" spans="1:38" ht="24.75" customHeight="1" x14ac:dyDescent="0.2">
      <c r="A8" s="69" t="s">
        <v>70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41"/>
      <c r="AH8" s="118"/>
      <c r="AI8" s="119"/>
      <c r="AJ8" s="119"/>
      <c r="AK8" s="119"/>
      <c r="AL8" s="119"/>
    </row>
    <row r="9" spans="1:38" ht="24" customHeight="1" x14ac:dyDescent="0.2">
      <c r="A9" s="70" t="s">
        <v>71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42"/>
      <c r="AH9" s="118"/>
      <c r="AI9" s="119"/>
      <c r="AJ9" s="119"/>
      <c r="AK9" s="119"/>
      <c r="AL9" s="119"/>
    </row>
    <row r="10" spans="1:38" ht="24" customHeight="1" x14ac:dyDescent="0.2">
      <c r="A10" s="66" t="s">
        <v>72</v>
      </c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42"/>
      <c r="AH10" s="118"/>
      <c r="AI10" s="119"/>
      <c r="AJ10" s="119"/>
      <c r="AK10" s="119"/>
      <c r="AL10" s="119"/>
    </row>
    <row r="11" spans="1:38" ht="24" customHeight="1" thickBot="1" x14ac:dyDescent="0.25">
      <c r="A11" s="65" t="s">
        <v>73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42"/>
      <c r="AH11" s="118"/>
      <c r="AI11" s="119"/>
      <c r="AJ11" s="119"/>
      <c r="AK11" s="119"/>
      <c r="AL11" s="119"/>
    </row>
    <row r="12" spans="1:38" ht="24" customHeight="1" x14ac:dyDescent="0.2">
      <c r="A12" s="47" t="s">
        <v>50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43"/>
      <c r="AH12" s="118"/>
      <c r="AI12" s="119"/>
      <c r="AJ12" s="119"/>
      <c r="AK12" s="119"/>
      <c r="AL12" s="119"/>
    </row>
    <row r="13" spans="1:38" ht="24" customHeight="1" x14ac:dyDescent="0.2">
      <c r="A13" s="50" t="s">
        <v>68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3"/>
      <c r="AH13" s="118"/>
      <c r="AI13" s="119"/>
      <c r="AJ13" s="119"/>
      <c r="AK13" s="119"/>
      <c r="AL13" s="119"/>
    </row>
    <row r="14" spans="1:38" ht="24" customHeight="1" x14ac:dyDescent="0.2">
      <c r="A14" s="47" t="s">
        <v>74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43"/>
      <c r="AH14" s="118"/>
      <c r="AI14" s="119"/>
      <c r="AJ14" s="119"/>
      <c r="AK14" s="119"/>
      <c r="AL14" s="119"/>
    </row>
    <row r="15" spans="1:38" ht="24" customHeight="1" x14ac:dyDescent="0.2">
      <c r="A15" s="50" t="s">
        <v>69</v>
      </c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4"/>
      <c r="AH15" s="118"/>
      <c r="AI15" s="119"/>
      <c r="AJ15" s="119"/>
      <c r="AK15" s="119"/>
      <c r="AL15" s="119"/>
    </row>
    <row r="16" spans="1:38" ht="23.25" customHeight="1" x14ac:dyDescent="0.2">
      <c r="A16" s="48" t="s">
        <v>51</v>
      </c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40"/>
      <c r="AH16" s="118"/>
      <c r="AI16" s="119"/>
      <c r="AJ16" s="119"/>
      <c r="AK16" s="119"/>
      <c r="AL16" s="119"/>
    </row>
    <row r="17" spans="1:38" ht="24" customHeight="1" x14ac:dyDescent="0.2">
      <c r="A17" s="49" t="s">
        <v>52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6"/>
      <c r="AH17" s="118"/>
      <c r="AI17" s="119"/>
      <c r="AJ17" s="119"/>
      <c r="AK17" s="119"/>
      <c r="AL17" s="119"/>
    </row>
    <row r="18" spans="1:38" ht="24" customHeight="1" x14ac:dyDescent="0.2">
      <c r="A18" s="50" t="s">
        <v>53</v>
      </c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6"/>
      <c r="AH18" s="118"/>
      <c r="AI18" s="119"/>
      <c r="AJ18" s="119"/>
      <c r="AK18" s="119"/>
      <c r="AL18" s="119"/>
    </row>
    <row r="19" spans="1:38" ht="24" customHeight="1" x14ac:dyDescent="0.2">
      <c r="A19" s="50" t="s">
        <v>54</v>
      </c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6"/>
      <c r="AH19" s="118"/>
      <c r="AI19" s="119"/>
      <c r="AJ19" s="119"/>
      <c r="AK19" s="119"/>
      <c r="AL19" s="119"/>
    </row>
    <row r="20" spans="1:38" ht="24" customHeight="1" x14ac:dyDescent="0.2">
      <c r="A20" s="48" t="s">
        <v>55</v>
      </c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6"/>
      <c r="AH20" s="118"/>
      <c r="AI20" s="119"/>
      <c r="AJ20" s="119"/>
      <c r="AK20" s="119"/>
      <c r="AL20" s="119"/>
    </row>
    <row r="21" spans="1:38" ht="24" customHeight="1" x14ac:dyDescent="0.2">
      <c r="A21" s="50" t="s">
        <v>56</v>
      </c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6"/>
      <c r="AH21" s="118"/>
      <c r="AI21" s="119"/>
      <c r="AJ21" s="119"/>
      <c r="AK21" s="119"/>
      <c r="AL21" s="119"/>
    </row>
    <row r="22" spans="1:38" ht="24" customHeight="1" x14ac:dyDescent="0.2">
      <c r="A22" s="51" t="s">
        <v>57</v>
      </c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6"/>
      <c r="AH22" s="118"/>
      <c r="AI22" s="119"/>
      <c r="AJ22" s="119"/>
      <c r="AK22" s="119"/>
      <c r="AL22" s="119"/>
    </row>
    <row r="23" spans="1:38" ht="24" customHeight="1" x14ac:dyDescent="0.2">
      <c r="A23" s="50" t="s">
        <v>58</v>
      </c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6"/>
      <c r="AH23" s="118"/>
      <c r="AI23" s="119"/>
      <c r="AJ23" s="119"/>
      <c r="AK23" s="119"/>
      <c r="AL23" s="119"/>
    </row>
    <row r="24" spans="1:38" ht="24" customHeight="1" x14ac:dyDescent="0.2">
      <c r="A24" s="51" t="s">
        <v>59</v>
      </c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6"/>
      <c r="AH24" s="118"/>
      <c r="AI24" s="119"/>
      <c r="AJ24" s="119"/>
      <c r="AK24" s="119"/>
      <c r="AL24" s="119"/>
    </row>
    <row r="25" spans="1:38" ht="24" customHeight="1" x14ac:dyDescent="0.2">
      <c r="A25" s="50" t="s">
        <v>60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6"/>
      <c r="AH25" s="118"/>
      <c r="AI25" s="119"/>
      <c r="AJ25" s="119"/>
      <c r="AK25" s="119"/>
      <c r="AL25" s="119"/>
    </row>
    <row r="26" spans="1:38" ht="24" customHeight="1" x14ac:dyDescent="0.2">
      <c r="A26" s="50" t="s">
        <v>61</v>
      </c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6"/>
      <c r="AH26" s="118"/>
      <c r="AI26" s="119"/>
      <c r="AJ26" s="119"/>
      <c r="AK26" s="119"/>
      <c r="AL26" s="119"/>
    </row>
    <row r="27" spans="1:38" ht="24" customHeight="1" x14ac:dyDescent="0.2">
      <c r="A27" s="62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6"/>
      <c r="AH27" s="118"/>
      <c r="AI27" s="119"/>
      <c r="AJ27" s="119"/>
      <c r="AK27" s="119"/>
      <c r="AL27" s="119"/>
    </row>
    <row r="28" spans="1:38" ht="24" customHeight="1" x14ac:dyDescent="0.2">
      <c r="A28" s="58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6"/>
      <c r="AH28" s="118"/>
      <c r="AI28" s="119"/>
      <c r="AJ28" s="119"/>
      <c r="AK28" s="119"/>
      <c r="AL28" s="119"/>
    </row>
    <row r="29" spans="1:38" ht="24" customHeight="1" thickBot="1" x14ac:dyDescent="0.25">
      <c r="A29" s="56" t="s">
        <v>67</v>
      </c>
      <c r="B29" s="73">
        <f>SUM(Column2StartB, Column4EndB, Column3StartB:ColumnEndB)</f>
        <v>0</v>
      </c>
      <c r="C29" s="73">
        <f>SUM(Column2StartC, Column4EndC, Column3StartC:ColumnEndC)</f>
        <v>0</v>
      </c>
      <c r="D29" s="73">
        <f>SUM(Column2StartD, Column4EndD, Column3StartD:ColumnEndD)</f>
        <v>0</v>
      </c>
      <c r="E29" s="73">
        <f>SUM(Column2StartE, Column4EndE, Column3StartE:ColumnEndE)</f>
        <v>0</v>
      </c>
      <c r="F29" s="73">
        <f>SUM(Column2StartF, Column4EndF, Column3StartF:ColumnEndF)</f>
        <v>0</v>
      </c>
      <c r="G29" s="73">
        <f>SUM(Column2StartG, Column4EndG, Column3StartG:ColumnEndG)</f>
        <v>0</v>
      </c>
      <c r="H29" s="73">
        <f>SUM(Column2StartH, Column4EndH, Column3StartH:ColumnEndH)</f>
        <v>0</v>
      </c>
      <c r="I29" s="73">
        <f>SUM(Column2StartI, Column4EndI, Column3StartI:ColumnEndI)</f>
        <v>0</v>
      </c>
      <c r="J29" s="73">
        <f>SUM(Column2StartJ, Column4EndJ, Column3StartJ:ColumnEndJ)</f>
        <v>0</v>
      </c>
      <c r="K29" s="73">
        <f>SUM(Column2StartK, Column4EndK, Column3StartK:ColumnEndK)</f>
        <v>0</v>
      </c>
      <c r="L29" s="73">
        <f>SUM(Column2StartL, Column4EndL, Column3StartL:ColumnEndL)</f>
        <v>0</v>
      </c>
      <c r="M29" s="73">
        <f>SUM(Column2StartM, Column4EndM, Column3StartM:ColumnEndM)</f>
        <v>0</v>
      </c>
      <c r="N29" s="73">
        <f>SUM(Column2StartN, Column4EndN, Column3StartN:ColumnEndN)</f>
        <v>0</v>
      </c>
      <c r="O29" s="73">
        <f>SUM(Column2StartO, Column4EndO, Column3StartO:ColumnEndO)</f>
        <v>0</v>
      </c>
      <c r="P29" s="73">
        <f>SUM(Column2StartP, Column4EndP, Column3StartP:ColumnEndP)</f>
        <v>0</v>
      </c>
      <c r="Q29" s="73">
        <f>SUM(Column2StartQ, Column4EndQ, Column3StartQ:ColumnEndQ)</f>
        <v>0</v>
      </c>
      <c r="R29" s="73">
        <f>SUM(Column2StartR, Column4EndR, Column3StartR:ColumnEndR)</f>
        <v>0</v>
      </c>
      <c r="S29" s="73">
        <f>SUM(Column2StartS, Column4EndS, Column3StartS:ColumnEndS)</f>
        <v>0</v>
      </c>
      <c r="T29" s="73">
        <f>SUM(Column2StartT, Column4EndT, Column3StartT:ColumnEndT)</f>
        <v>0</v>
      </c>
      <c r="U29" s="73">
        <f>SUM(Column2StartU, Column4EndU, Column3StartU:ColumnEndU)</f>
        <v>0</v>
      </c>
      <c r="V29" s="73">
        <f>SUM(Column2StartV, Column4EndV, Column3StartV:ColumnEndV)</f>
        <v>0</v>
      </c>
      <c r="W29" s="73">
        <f>SUM(Column2StartW, Column4EndW, Column3StartW:ColumnEndW)</f>
        <v>0</v>
      </c>
      <c r="X29" s="73">
        <f>SUM(Column2StartX, Column4EndX, Column3StartX:ColumnEndX)</f>
        <v>0</v>
      </c>
      <c r="Y29" s="73">
        <f>SUM(Column2StartY, Column4EndY, Column3StartY:ColumnEndY)</f>
        <v>0</v>
      </c>
      <c r="Z29" s="73">
        <f>SUM(Column2StartZ, Column4EndZ, Column3StartZ:ColumnEndZ)</f>
        <v>0</v>
      </c>
      <c r="AA29" s="73">
        <f>SUM(Column2StartAA, Column4EndAA, Column3StartAA:ColumnEndAA)</f>
        <v>0</v>
      </c>
      <c r="AB29" s="73">
        <f>SUM(Column2StartAB, Column4EndAB, Column3StartAB:ColumnEndAB)</f>
        <v>0</v>
      </c>
      <c r="AC29" s="73">
        <f>SUM(Column2StartAC, Column4EndAC, Column3StartAC:ColumnEndAC)</f>
        <v>0</v>
      </c>
      <c r="AD29" s="73">
        <f>SUM(Column2StartAD, Column4EndAD, Column3StartAD:ColumnEndAD)</f>
        <v>0</v>
      </c>
      <c r="AE29" s="73">
        <f>SUM(Column2StartAE, Column4EndAE, Column3StartAE:ColumnEndAE)</f>
        <v>0</v>
      </c>
      <c r="AF29" s="73">
        <f>SUM(Column2StartAF, Column4EndAF, Column3StartAF:ColumnEndAF)</f>
        <v>0</v>
      </c>
      <c r="AG29" s="7" t="s">
        <v>15</v>
      </c>
      <c r="AH29" s="118"/>
      <c r="AI29" s="119"/>
      <c r="AJ29" s="119"/>
      <c r="AK29" s="119"/>
      <c r="AL29" s="119"/>
    </row>
    <row r="30" spans="1:38" ht="24.75" customHeight="1" thickBot="1" x14ac:dyDescent="0.25">
      <c r="A30" s="57" t="s">
        <v>66</v>
      </c>
      <c r="B30" s="74">
        <f>SUM(B29, B15, B14)</f>
        <v>0</v>
      </c>
      <c r="C30" s="74">
        <f t="shared" ref="C30:AF30" si="0">SUM(C29, C15, C14)</f>
        <v>0</v>
      </c>
      <c r="D30" s="74">
        <f t="shared" si="0"/>
        <v>0</v>
      </c>
      <c r="E30" s="74">
        <f t="shared" si="0"/>
        <v>0</v>
      </c>
      <c r="F30" s="74">
        <f t="shared" si="0"/>
        <v>0</v>
      </c>
      <c r="G30" s="74">
        <f t="shared" si="0"/>
        <v>0</v>
      </c>
      <c r="H30" s="74">
        <f t="shared" si="0"/>
        <v>0</v>
      </c>
      <c r="I30" s="74">
        <f t="shared" si="0"/>
        <v>0</v>
      </c>
      <c r="J30" s="74">
        <f t="shared" si="0"/>
        <v>0</v>
      </c>
      <c r="K30" s="74">
        <f t="shared" si="0"/>
        <v>0</v>
      </c>
      <c r="L30" s="74">
        <f t="shared" si="0"/>
        <v>0</v>
      </c>
      <c r="M30" s="74">
        <f t="shared" si="0"/>
        <v>0</v>
      </c>
      <c r="N30" s="74">
        <f t="shared" si="0"/>
        <v>0</v>
      </c>
      <c r="O30" s="74">
        <f t="shared" si="0"/>
        <v>0</v>
      </c>
      <c r="P30" s="74">
        <f t="shared" si="0"/>
        <v>0</v>
      </c>
      <c r="Q30" s="74">
        <f t="shared" si="0"/>
        <v>0</v>
      </c>
      <c r="R30" s="74">
        <f t="shared" si="0"/>
        <v>0</v>
      </c>
      <c r="S30" s="74">
        <f t="shared" si="0"/>
        <v>0</v>
      </c>
      <c r="T30" s="74">
        <f t="shared" si="0"/>
        <v>0</v>
      </c>
      <c r="U30" s="74">
        <f t="shared" si="0"/>
        <v>0</v>
      </c>
      <c r="V30" s="74">
        <f t="shared" si="0"/>
        <v>0</v>
      </c>
      <c r="W30" s="74">
        <f t="shared" si="0"/>
        <v>0</v>
      </c>
      <c r="X30" s="74">
        <f t="shared" si="0"/>
        <v>0</v>
      </c>
      <c r="Y30" s="74">
        <f t="shared" si="0"/>
        <v>0</v>
      </c>
      <c r="Z30" s="74">
        <f>SUM(Z29, Z15, Z14)</f>
        <v>0</v>
      </c>
      <c r="AA30" s="74">
        <f t="shared" si="0"/>
        <v>0</v>
      </c>
      <c r="AB30" s="74">
        <f t="shared" si="0"/>
        <v>0</v>
      </c>
      <c r="AC30" s="74">
        <f t="shared" si="0"/>
        <v>0</v>
      </c>
      <c r="AD30" s="74">
        <f t="shared" si="0"/>
        <v>0</v>
      </c>
      <c r="AE30" s="74">
        <f t="shared" si="0"/>
        <v>0</v>
      </c>
      <c r="AF30" s="74">
        <f t="shared" si="0"/>
        <v>0</v>
      </c>
      <c r="AG30" s="75">
        <f>SUM(B30:AF30)</f>
        <v>0</v>
      </c>
      <c r="AH30" s="118"/>
      <c r="AI30" s="119"/>
      <c r="AJ30" s="119"/>
      <c r="AK30" s="119"/>
      <c r="AL30" s="119"/>
    </row>
    <row r="31" spans="1:38" ht="24" customHeight="1" x14ac:dyDescent="0.2">
      <c r="A31" s="176" t="s">
        <v>16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7"/>
      <c r="AG31" s="61"/>
      <c r="AH31" s="118"/>
      <c r="AI31" s="119"/>
      <c r="AJ31" s="119"/>
      <c r="AK31" s="119"/>
      <c r="AL31" s="119"/>
    </row>
    <row r="32" spans="1:38" ht="24" customHeight="1" x14ac:dyDescent="0.2">
      <c r="A32" s="177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9"/>
      <c r="AC32" s="79"/>
      <c r="AD32" s="78"/>
      <c r="AE32" s="78"/>
      <c r="AF32" s="80"/>
      <c r="AG32" s="59"/>
      <c r="AH32" s="118"/>
      <c r="AI32" s="119"/>
      <c r="AJ32" s="119"/>
      <c r="AK32" s="119"/>
      <c r="AL32" s="119"/>
    </row>
    <row r="33" spans="1:38" ht="24" customHeight="1" thickBot="1" x14ac:dyDescent="0.25">
      <c r="A33" s="178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52"/>
      <c r="AC33" s="52"/>
      <c r="AD33" s="37"/>
      <c r="AE33" s="37"/>
      <c r="AF33" s="53"/>
      <c r="AG33" s="60"/>
      <c r="AH33" s="118"/>
      <c r="AI33" s="119"/>
      <c r="AJ33" s="119"/>
      <c r="AK33" s="119"/>
      <c r="AL33" s="119"/>
    </row>
    <row r="34" spans="1:38" ht="24" customHeight="1" thickBot="1" x14ac:dyDescent="0.25">
      <c r="B34" s="8" t="s">
        <v>49</v>
      </c>
      <c r="G34" s="9" t="s">
        <v>17</v>
      </c>
      <c r="H34" s="9"/>
      <c r="I34" s="9"/>
      <c r="J34" s="9"/>
      <c r="K34" s="9" t="s">
        <v>18</v>
      </c>
      <c r="L34" s="9"/>
      <c r="M34" s="9"/>
      <c r="N34" s="9"/>
      <c r="O34" s="9" t="s">
        <v>19</v>
      </c>
      <c r="P34" s="9"/>
      <c r="Q34" s="9"/>
      <c r="R34" s="9"/>
      <c r="S34" s="9" t="s">
        <v>20</v>
      </c>
      <c r="T34" s="9"/>
      <c r="U34" s="10"/>
      <c r="V34" s="174" t="s">
        <v>62</v>
      </c>
      <c r="W34" s="175"/>
      <c r="X34" s="175"/>
      <c r="Y34" s="175"/>
      <c r="Z34" s="175"/>
      <c r="AA34" s="175"/>
      <c r="AB34" s="170"/>
      <c r="AC34" s="171"/>
      <c r="AD34" s="172" t="s">
        <v>39</v>
      </c>
      <c r="AE34" s="173"/>
      <c r="AF34" s="173"/>
      <c r="AG34" s="39">
        <f>IF(COUNTIF(ColumnStartB:ColumnEndB, "&lt;&gt;"&amp;"") &gt; 0, 1, 0) + IF(COUNTIF(ColumnStartC:ColumnEndC, "&lt;&gt;"&amp;"")  &gt;0, 1, 0) + IF(COUNTIF(ColumnStartD:ColumnEndD, "&lt;&gt;"&amp;"")  &gt;0, 1, 0) + IF(COUNTIF(ColumnStartE:ColumnEndE, "&lt;&gt;"&amp;"")  &gt;0, 1, 0) + IF(COUNTIF(ColumnStartF:ColumnEndF, "&lt;&gt;"&amp;"")  &gt;0, 1, 0) + IF(COUNTIF(ColumnStartG:ColumnEndG, "&lt;&gt;"&amp;"")  &gt;0, 1, 0) + IF(COUNTIF(ColumnStartH:ColumnEndH, "&lt;&gt;"&amp;"")  &gt;0, 1, 0) + IF(COUNTIF(ColumnStartI:ColumnEndI, "&lt;&gt;"&amp;"")  &gt;0, 1, 0) + IF(COUNTIF(ColumnStartJ:ColumnEndJ, "&lt;&gt;"&amp;"")  &gt;0, 1, 0) + IF(COUNTIF(ColumnStartK:ColumnEndK, "&lt;&gt;"&amp;"")  &gt;0, 1, 0) + IF(COUNTIF(ColumnStartL:ColumnEndL, "&lt;&gt;"&amp;"")  &gt;0, 1, 0)+ IF(COUNTIF(ColumnStartM:ColumnEndM, "&lt;&gt;"&amp;"")  &gt;0, 1, 0) + IF(COUNTIF(ColumnStartN:ColumnEndN, "&lt;&gt;"&amp;"")  &gt;0, 1, 0) + IF(COUNTIF(ColumnStartO:ColumnEndO,"&lt;&gt;"&amp;"")  &gt;0, 1, 0) + IF(COUNTIF(ColumnStartP:ColumnEndP,"&lt;&gt;"&amp;"")  &gt;0, 1, 0) + IF(COUNTIF(ColumnStartQ:ColumnEndQ, "&lt;&gt;"&amp;"")  &gt;0, 1, 0) + IF(COUNTIF(ColumnStartR:ColumnEndR, "&lt;&gt;"&amp;"")  &gt;0, 1, 0) + IF(COUNTIF(ColumnStartS:ColumnEndS, "&lt;&gt;"&amp;"")  &gt;0, 1, 0) + IF(COUNTIF(ColumnStartT:ColumnEndT, "&lt;&gt;"&amp;"")  &gt;0, 1, 0)  + IF(COUNTIF(ColumnStartU:ColumnEndU, "&lt;&gt;"&amp;"")  &gt;0, 1, 0) + IF(COUNTIF(ColumnStartV:ColumnEndV,"&lt;&gt;"&amp;"")  &gt;0, 1, 0) + IF(COUNTIF(ColumnStartW:ColumnEndW, "&lt;&gt;"&amp;"")  &gt;0, 1, 0) + IF(COUNTIF(ColumnStartX:ColumnEndX, "&lt;&gt;"&amp;"")  &gt;0, 1, 0) + IF(COUNTIF(ColumnStartY:ColumnEndY,"&lt;&gt;"&amp;"")  &gt;0, 1, 0) + IF(COUNTIF(ColumnStartZ:ColumnEndZ, "&lt;&gt;"&amp;"")  &gt;0, 1, 0) + IF(COUNTIF(ColumnStartAA:ColumnEndAA, "&lt;&gt;"&amp;"")  &gt;0, 1, 0) + IF(COUNTIF(ColumnStartAB:ColumnEndAB, "&lt;&gt;"&amp;"")  &gt;0, 1, 0) + IF(COUNTIF(ColumnStartAC:ColumnEndAC, "&lt;&gt;"&amp;"")  &gt;0, 1, 0) + IF(COUNTIF(ColumnStartAD:ColumnEndAD, "&lt;&gt;"&amp;"")  &gt;0, 1, 0) + IF(COUNTIF(ColumnStartAE:ColumnEndAE, "&lt;&gt;"&amp;"")  &gt;0, 1, 0) + IF(COUNTIF(ColumnStartAF:ColumnEndAF, "&lt;&gt;"&amp;"")  &gt;0, 1, 0)</f>
        <v>0</v>
      </c>
      <c r="AH34" s="118"/>
      <c r="AI34" s="119"/>
      <c r="AJ34" s="119"/>
      <c r="AK34" s="119"/>
      <c r="AL34" s="119"/>
    </row>
    <row r="35" spans="1:38" ht="24" customHeight="1" x14ac:dyDescent="0.2">
      <c r="A35" s="169"/>
      <c r="B35" s="182" t="s">
        <v>21</v>
      </c>
      <c r="C35" s="128"/>
      <c r="D35" s="128"/>
      <c r="E35" s="128"/>
      <c r="F35" s="128"/>
      <c r="G35" s="128"/>
      <c r="H35" s="128"/>
      <c r="I35" s="128"/>
      <c r="J35" s="128"/>
      <c r="K35" s="129"/>
      <c r="L35" s="127" t="s">
        <v>16</v>
      </c>
      <c r="M35" s="129"/>
      <c r="N35" s="127" t="s">
        <v>22</v>
      </c>
      <c r="O35" s="128"/>
      <c r="P35" s="128"/>
      <c r="Q35" s="129"/>
      <c r="R35" s="127" t="s">
        <v>21</v>
      </c>
      <c r="S35" s="128"/>
      <c r="T35" s="128"/>
      <c r="U35" s="128"/>
      <c r="V35" s="128"/>
      <c r="W35" s="128"/>
      <c r="X35" s="128"/>
      <c r="Y35" s="128"/>
      <c r="Z35" s="128"/>
      <c r="AA35" s="129"/>
      <c r="AB35" s="179" t="s">
        <v>16</v>
      </c>
      <c r="AC35" s="180"/>
      <c r="AD35" s="127" t="s">
        <v>22</v>
      </c>
      <c r="AE35" s="128"/>
      <c r="AF35" s="128"/>
      <c r="AG35" s="181"/>
      <c r="AH35" s="119"/>
      <c r="AI35" s="119"/>
      <c r="AJ35" s="119"/>
      <c r="AK35" s="119"/>
      <c r="AL35" s="119"/>
    </row>
    <row r="36" spans="1:38" ht="21.75" customHeight="1" x14ac:dyDescent="0.2">
      <c r="A36" s="169"/>
      <c r="B36" s="120"/>
      <c r="C36" s="115"/>
      <c r="D36" s="115"/>
      <c r="E36" s="115"/>
      <c r="F36" s="115"/>
      <c r="G36" s="115"/>
      <c r="H36" s="115"/>
      <c r="I36" s="115"/>
      <c r="J36" s="115"/>
      <c r="K36" s="115"/>
      <c r="L36" s="99"/>
      <c r="M36" s="100"/>
      <c r="N36" s="99"/>
      <c r="O36" s="115"/>
      <c r="P36" s="115"/>
      <c r="Q36" s="115"/>
      <c r="R36" s="107"/>
      <c r="S36" s="108"/>
      <c r="T36" s="108"/>
      <c r="U36" s="108"/>
      <c r="V36" s="108"/>
      <c r="W36" s="108"/>
      <c r="X36" s="108"/>
      <c r="Y36" s="108"/>
      <c r="Z36" s="108"/>
      <c r="AA36" s="108"/>
      <c r="AB36" s="107"/>
      <c r="AC36" s="110"/>
      <c r="AD36" s="107"/>
      <c r="AE36" s="108"/>
      <c r="AF36" s="108"/>
      <c r="AG36" s="109"/>
      <c r="AH36" s="118"/>
      <c r="AI36" s="119"/>
      <c r="AJ36" s="119"/>
      <c r="AK36" s="119"/>
      <c r="AL36" s="119"/>
    </row>
    <row r="37" spans="1:38" ht="21.75" customHeight="1" x14ac:dyDescent="0.2">
      <c r="A37" s="169"/>
      <c r="B37" s="124"/>
      <c r="C37" s="114"/>
      <c r="D37" s="114"/>
      <c r="E37" s="114"/>
      <c r="F37" s="114"/>
      <c r="G37" s="114"/>
      <c r="H37" s="114"/>
      <c r="I37" s="114"/>
      <c r="J37" s="114"/>
      <c r="K37" s="114"/>
      <c r="L37" s="101"/>
      <c r="M37" s="102"/>
      <c r="N37" s="101"/>
      <c r="O37" s="114"/>
      <c r="P37" s="114"/>
      <c r="Q37" s="114"/>
      <c r="R37" s="90"/>
      <c r="S37" s="91"/>
      <c r="T37" s="91"/>
      <c r="U37" s="91"/>
      <c r="V37" s="91"/>
      <c r="W37" s="91"/>
      <c r="X37" s="91"/>
      <c r="Y37" s="91"/>
      <c r="Z37" s="91"/>
      <c r="AA37" s="91"/>
      <c r="AB37" s="90"/>
      <c r="AC37" s="111"/>
      <c r="AD37" s="90"/>
      <c r="AE37" s="91"/>
      <c r="AF37" s="91"/>
      <c r="AG37" s="92"/>
      <c r="AH37" s="118"/>
      <c r="AI37" s="119"/>
      <c r="AJ37" s="119"/>
      <c r="AK37" s="119"/>
      <c r="AL37" s="119"/>
    </row>
    <row r="38" spans="1:38" ht="21.75" customHeight="1" x14ac:dyDescent="0.2">
      <c r="A38" s="169"/>
      <c r="B38" s="125"/>
      <c r="C38" s="116"/>
      <c r="D38" s="116"/>
      <c r="E38" s="116"/>
      <c r="F38" s="116"/>
      <c r="G38" s="116"/>
      <c r="H38" s="116"/>
      <c r="I38" s="116"/>
      <c r="J38" s="116"/>
      <c r="K38" s="116"/>
      <c r="L38" s="103"/>
      <c r="M38" s="104"/>
      <c r="N38" s="103"/>
      <c r="O38" s="116"/>
      <c r="P38" s="116"/>
      <c r="Q38" s="116"/>
      <c r="R38" s="93"/>
      <c r="S38" s="94"/>
      <c r="T38" s="94"/>
      <c r="U38" s="94"/>
      <c r="V38" s="94"/>
      <c r="W38" s="94"/>
      <c r="X38" s="94"/>
      <c r="Y38" s="94"/>
      <c r="Z38" s="94"/>
      <c r="AA38" s="94"/>
      <c r="AB38" s="93"/>
      <c r="AC38" s="112"/>
      <c r="AD38" s="93"/>
      <c r="AE38" s="94"/>
      <c r="AF38" s="94"/>
      <c r="AG38" s="95"/>
      <c r="AH38" s="118"/>
      <c r="AI38" s="119"/>
      <c r="AJ38" s="119"/>
      <c r="AK38" s="119"/>
      <c r="AL38" s="119"/>
    </row>
    <row r="39" spans="1:38" ht="21.75" customHeight="1" x14ac:dyDescent="0.2">
      <c r="B39" s="124"/>
      <c r="C39" s="114"/>
      <c r="D39" s="114"/>
      <c r="E39" s="114"/>
      <c r="F39" s="114"/>
      <c r="G39" s="114"/>
      <c r="H39" s="114"/>
      <c r="I39" s="114"/>
      <c r="J39" s="114"/>
      <c r="K39" s="114"/>
      <c r="L39" s="101"/>
      <c r="M39" s="102"/>
      <c r="N39" s="101"/>
      <c r="O39" s="114"/>
      <c r="P39" s="114"/>
      <c r="Q39" s="114"/>
      <c r="R39" s="90"/>
      <c r="S39" s="91"/>
      <c r="T39" s="91"/>
      <c r="U39" s="91"/>
      <c r="V39" s="91"/>
      <c r="W39" s="91"/>
      <c r="X39" s="91"/>
      <c r="Y39" s="91"/>
      <c r="Z39" s="91"/>
      <c r="AA39" s="91"/>
      <c r="AB39" s="90"/>
      <c r="AC39" s="111"/>
      <c r="AD39" s="90"/>
      <c r="AE39" s="91"/>
      <c r="AF39" s="91"/>
      <c r="AG39" s="92"/>
      <c r="AH39" s="118"/>
      <c r="AI39" s="119"/>
      <c r="AJ39" s="119"/>
      <c r="AK39" s="119"/>
      <c r="AL39" s="119"/>
    </row>
    <row r="40" spans="1:38" ht="21.75" customHeight="1" x14ac:dyDescent="0.2">
      <c r="B40" s="120"/>
      <c r="C40" s="115"/>
      <c r="D40" s="115"/>
      <c r="E40" s="115"/>
      <c r="F40" s="115"/>
      <c r="G40" s="115"/>
      <c r="H40" s="115"/>
      <c r="I40" s="115"/>
      <c r="J40" s="115"/>
      <c r="K40" s="115"/>
      <c r="L40" s="99"/>
      <c r="M40" s="100"/>
      <c r="N40" s="99"/>
      <c r="O40" s="115"/>
      <c r="P40" s="115"/>
      <c r="Q40" s="115"/>
      <c r="R40" s="107"/>
      <c r="S40" s="108"/>
      <c r="T40" s="108"/>
      <c r="U40" s="108"/>
      <c r="V40" s="108"/>
      <c r="W40" s="108"/>
      <c r="X40" s="108"/>
      <c r="Y40" s="108"/>
      <c r="Z40" s="108"/>
      <c r="AA40" s="108"/>
      <c r="AB40" s="107"/>
      <c r="AC40" s="110"/>
      <c r="AD40" s="107"/>
      <c r="AE40" s="108"/>
      <c r="AF40" s="108"/>
      <c r="AG40" s="109"/>
      <c r="AH40" s="118"/>
      <c r="AI40" s="119"/>
      <c r="AJ40" s="119"/>
      <c r="AK40" s="119"/>
      <c r="AL40" s="119"/>
    </row>
    <row r="41" spans="1:38" ht="21.75" customHeight="1" x14ac:dyDescent="0.2">
      <c r="B41" s="124"/>
      <c r="C41" s="114"/>
      <c r="D41" s="114"/>
      <c r="E41" s="114"/>
      <c r="F41" s="114"/>
      <c r="G41" s="114"/>
      <c r="H41" s="114"/>
      <c r="I41" s="114"/>
      <c r="J41" s="114"/>
      <c r="K41" s="114"/>
      <c r="L41" s="101"/>
      <c r="M41" s="102"/>
      <c r="N41" s="101"/>
      <c r="O41" s="114"/>
      <c r="P41" s="114"/>
      <c r="Q41" s="114"/>
      <c r="R41" s="90"/>
      <c r="S41" s="91"/>
      <c r="T41" s="91"/>
      <c r="U41" s="91"/>
      <c r="V41" s="91"/>
      <c r="W41" s="91"/>
      <c r="X41" s="91"/>
      <c r="Y41" s="91"/>
      <c r="Z41" s="91"/>
      <c r="AA41" s="91"/>
      <c r="AB41" s="90"/>
      <c r="AC41" s="111"/>
      <c r="AD41" s="90"/>
      <c r="AE41" s="91"/>
      <c r="AF41" s="91"/>
      <c r="AG41" s="92"/>
      <c r="AH41" s="118"/>
      <c r="AI41" s="119"/>
      <c r="AJ41" s="119"/>
      <c r="AK41" s="119"/>
      <c r="AL41" s="119"/>
    </row>
    <row r="42" spans="1:38" ht="21.75" customHeight="1" x14ac:dyDescent="0.2">
      <c r="B42" s="125"/>
      <c r="C42" s="116"/>
      <c r="D42" s="116"/>
      <c r="E42" s="116"/>
      <c r="F42" s="116"/>
      <c r="G42" s="116"/>
      <c r="H42" s="116"/>
      <c r="I42" s="116"/>
      <c r="J42" s="116"/>
      <c r="K42" s="116"/>
      <c r="L42" s="103"/>
      <c r="M42" s="104"/>
      <c r="N42" s="103"/>
      <c r="O42" s="116"/>
      <c r="P42" s="116"/>
      <c r="Q42" s="116"/>
      <c r="R42" s="93"/>
      <c r="S42" s="94"/>
      <c r="T42" s="94"/>
      <c r="U42" s="94"/>
      <c r="V42" s="94"/>
      <c r="W42" s="94"/>
      <c r="X42" s="94"/>
      <c r="Y42" s="94"/>
      <c r="Z42" s="94"/>
      <c r="AA42" s="94"/>
      <c r="AB42" s="93"/>
      <c r="AC42" s="112"/>
      <c r="AD42" s="93"/>
      <c r="AE42" s="94"/>
      <c r="AF42" s="94"/>
      <c r="AG42" s="95"/>
      <c r="AH42" s="118"/>
      <c r="AI42" s="119"/>
      <c r="AJ42" s="119"/>
      <c r="AK42" s="119"/>
      <c r="AL42" s="119"/>
    </row>
    <row r="43" spans="1:38" ht="21.75" customHeight="1" thickBot="1" x14ac:dyDescent="0.25">
      <c r="B43" s="126"/>
      <c r="C43" s="117"/>
      <c r="D43" s="117"/>
      <c r="E43" s="117"/>
      <c r="F43" s="117"/>
      <c r="G43" s="117"/>
      <c r="H43" s="117"/>
      <c r="I43" s="117"/>
      <c r="J43" s="117"/>
      <c r="K43" s="117"/>
      <c r="L43" s="105"/>
      <c r="M43" s="106"/>
      <c r="N43" s="105"/>
      <c r="O43" s="117"/>
      <c r="P43" s="117"/>
      <c r="Q43" s="117"/>
      <c r="R43" s="96"/>
      <c r="S43" s="97"/>
      <c r="T43" s="97"/>
      <c r="U43" s="97"/>
      <c r="V43" s="97"/>
      <c r="W43" s="97"/>
      <c r="X43" s="97"/>
      <c r="Y43" s="97"/>
      <c r="Z43" s="97"/>
      <c r="AA43" s="97"/>
      <c r="AB43" s="96"/>
      <c r="AC43" s="113"/>
      <c r="AD43" s="96"/>
      <c r="AE43" s="97"/>
      <c r="AF43" s="97"/>
      <c r="AG43" s="98"/>
      <c r="AH43" s="118"/>
      <c r="AI43" s="119"/>
      <c r="AJ43" s="119"/>
      <c r="AK43" s="119"/>
      <c r="AL43" s="119"/>
    </row>
    <row r="44" spans="1:38" ht="18" hidden="1" customHeight="1" x14ac:dyDescent="0.2">
      <c r="A44" s="11">
        <v>0</v>
      </c>
      <c r="B44" s="11">
        <v>1</v>
      </c>
      <c r="C44" s="11">
        <v>2</v>
      </c>
      <c r="D44" s="11">
        <v>3</v>
      </c>
      <c r="E44" s="11">
        <v>4</v>
      </c>
      <c r="F44" s="11">
        <v>5</v>
      </c>
      <c r="G44" s="11">
        <v>6</v>
      </c>
      <c r="H44" s="11">
        <v>7</v>
      </c>
      <c r="I44" s="11">
        <v>8</v>
      </c>
      <c r="J44" s="11">
        <v>9</v>
      </c>
      <c r="K44" s="11">
        <v>10</v>
      </c>
      <c r="L44" s="11">
        <v>11</v>
      </c>
      <c r="M44" s="11">
        <v>12</v>
      </c>
      <c r="N44" s="11">
        <v>13</v>
      </c>
      <c r="O44" s="11">
        <v>14</v>
      </c>
      <c r="P44" s="11">
        <v>15</v>
      </c>
      <c r="Q44" s="11">
        <v>16</v>
      </c>
      <c r="R44" s="11">
        <v>17</v>
      </c>
      <c r="S44" s="11">
        <v>18</v>
      </c>
      <c r="T44" s="11">
        <v>19</v>
      </c>
      <c r="U44" s="11">
        <v>20</v>
      </c>
      <c r="V44" s="11">
        <v>21</v>
      </c>
      <c r="W44" s="11">
        <v>22</v>
      </c>
      <c r="X44" s="11">
        <v>23</v>
      </c>
      <c r="Y44" s="11">
        <v>24</v>
      </c>
      <c r="Z44" s="11">
        <v>25</v>
      </c>
      <c r="AA44" s="11">
        <v>26</v>
      </c>
      <c r="AB44" s="11">
        <v>27</v>
      </c>
      <c r="AC44" s="11">
        <v>28</v>
      </c>
      <c r="AD44" s="11">
        <v>29</v>
      </c>
      <c r="AE44" s="11">
        <v>30</v>
      </c>
      <c r="AF44" s="11">
        <v>31</v>
      </c>
    </row>
    <row r="45" spans="1:38" hidden="1" x14ac:dyDescent="0.2">
      <c r="A45" s="11">
        <v>1</v>
      </c>
    </row>
    <row r="46" spans="1:38" ht="13.5" hidden="1" thickBot="1" x14ac:dyDescent="0.25">
      <c r="A46" s="11">
        <v>2</v>
      </c>
    </row>
    <row r="47" spans="1:38" ht="13.5" hidden="1" thickBot="1" x14ac:dyDescent="0.25">
      <c r="A47" s="11">
        <v>3</v>
      </c>
      <c r="C47" s="12" t="s">
        <v>76</v>
      </c>
      <c r="I47" s="81">
        <f>CurrentMonthVisits</f>
        <v>0</v>
      </c>
    </row>
    <row r="48" spans="1:38" ht="13.5" hidden="1" thickBot="1" x14ac:dyDescent="0.25">
      <c r="A48" s="11">
        <v>4</v>
      </c>
      <c r="B48" s="12" t="s">
        <v>75</v>
      </c>
      <c r="I48" s="81">
        <f>COUNTIF(B45:AF45, "&gt;=2")</f>
        <v>0</v>
      </c>
    </row>
    <row r="49" spans="1:1" hidden="1" x14ac:dyDescent="0.2">
      <c r="A49" s="11">
        <v>5</v>
      </c>
    </row>
    <row r="50" spans="1:1" hidden="1" x14ac:dyDescent="0.2">
      <c r="A50" s="11">
        <v>6</v>
      </c>
    </row>
    <row r="51" spans="1:1" hidden="1" x14ac:dyDescent="0.2">
      <c r="A51" s="11">
        <v>7</v>
      </c>
    </row>
    <row r="52" spans="1:1" hidden="1" x14ac:dyDescent="0.2">
      <c r="A52" s="11">
        <v>8</v>
      </c>
    </row>
    <row r="53" spans="1:1" hidden="1" x14ac:dyDescent="0.2">
      <c r="A53" s="11">
        <v>9</v>
      </c>
    </row>
    <row r="54" spans="1:1" hidden="1" x14ac:dyDescent="0.2">
      <c r="A54" s="11">
        <v>10</v>
      </c>
    </row>
    <row r="55" spans="1:1" hidden="1" x14ac:dyDescent="0.2">
      <c r="A55" s="11">
        <v>11</v>
      </c>
    </row>
    <row r="56" spans="1:1" hidden="1" x14ac:dyDescent="0.2">
      <c r="A56" s="11">
        <v>12</v>
      </c>
    </row>
    <row r="57" spans="1:1" hidden="1" x14ac:dyDescent="0.2">
      <c r="A57" s="11">
        <v>13</v>
      </c>
    </row>
    <row r="58" spans="1:1" hidden="1" x14ac:dyDescent="0.2">
      <c r="A58" s="11">
        <v>14</v>
      </c>
    </row>
    <row r="59" spans="1:1" hidden="1" x14ac:dyDescent="0.2">
      <c r="A59" s="11">
        <v>15</v>
      </c>
    </row>
    <row r="60" spans="1:1" hidden="1" x14ac:dyDescent="0.2">
      <c r="A60" s="11">
        <v>16</v>
      </c>
    </row>
    <row r="61" spans="1:1" hidden="1" x14ac:dyDescent="0.2">
      <c r="A61" s="11">
        <v>17</v>
      </c>
    </row>
    <row r="62" spans="1:1" hidden="1" x14ac:dyDescent="0.2">
      <c r="A62" s="11">
        <v>18</v>
      </c>
    </row>
    <row r="63" spans="1:1" hidden="1" x14ac:dyDescent="0.2">
      <c r="A63" s="11">
        <v>19</v>
      </c>
    </row>
    <row r="64" spans="1:1" hidden="1" x14ac:dyDescent="0.2">
      <c r="A64" s="11">
        <v>20</v>
      </c>
    </row>
    <row r="65" spans="1:1" hidden="1" x14ac:dyDescent="0.2">
      <c r="A65" s="11">
        <v>21</v>
      </c>
    </row>
    <row r="66" spans="1:1" hidden="1" x14ac:dyDescent="0.2">
      <c r="A66" s="11">
        <v>22</v>
      </c>
    </row>
    <row r="67" spans="1:1" hidden="1" x14ac:dyDescent="0.2">
      <c r="A67" s="11">
        <v>23</v>
      </c>
    </row>
    <row r="68" spans="1:1" hidden="1" x14ac:dyDescent="0.2">
      <c r="A68" s="11">
        <v>24</v>
      </c>
    </row>
    <row r="69" spans="1:1" hidden="1" x14ac:dyDescent="0.2">
      <c r="A69" s="11">
        <v>25</v>
      </c>
    </row>
    <row r="70" spans="1:1" hidden="1" x14ac:dyDescent="0.2">
      <c r="A70" s="11">
        <v>26</v>
      </c>
    </row>
    <row r="71" spans="1:1" hidden="1" x14ac:dyDescent="0.2">
      <c r="A71" s="11">
        <v>27</v>
      </c>
    </row>
    <row r="72" spans="1:1" hidden="1" x14ac:dyDescent="0.2">
      <c r="A72" s="11">
        <v>28</v>
      </c>
    </row>
    <row r="73" spans="1:1" hidden="1" x14ac:dyDescent="0.2">
      <c r="A73" s="11">
        <v>29</v>
      </c>
    </row>
    <row r="74" spans="1:1" hidden="1" x14ac:dyDescent="0.2">
      <c r="A74" s="11">
        <v>30</v>
      </c>
    </row>
    <row r="75" spans="1:1" hidden="1" x14ac:dyDescent="0.2">
      <c r="A75" s="11">
        <v>31</v>
      </c>
    </row>
    <row r="76" spans="1:1" hidden="1" x14ac:dyDescent="0.2">
      <c r="A76" s="58"/>
    </row>
    <row r="77" spans="1:1" hidden="1" x14ac:dyDescent="0.2">
      <c r="A77" s="11">
        <f>COUNTIF(Initials1:Initials8, Initials1) + COUNTIF(Initials9:Initials16, Initials1)</f>
        <v>0</v>
      </c>
    </row>
    <row r="78" spans="1:1" hidden="1" x14ac:dyDescent="0.2">
      <c r="A78" s="11">
        <f>COUNTIF(Initials1:Initials8, Initials2) + COUNTIF(Initials9:Initials16, Initials2)</f>
        <v>0</v>
      </c>
    </row>
    <row r="79" spans="1:1" hidden="1" x14ac:dyDescent="0.2">
      <c r="A79" s="11">
        <f>COUNTIF(Initials1:Initials8, Initials3) + COUNTIF(Initials9:Initials16, Initials3)</f>
        <v>0</v>
      </c>
    </row>
    <row r="80" spans="1:1" hidden="1" x14ac:dyDescent="0.2">
      <c r="A80" s="11">
        <f xml:space="preserve"> COUNTIF(Initials1:Initials8, Initials4) + COUNTIF(Initials9:Initials16, Initials4)</f>
        <v>0</v>
      </c>
    </row>
    <row r="81" spans="1:1" hidden="1" x14ac:dyDescent="0.2">
      <c r="A81" s="11">
        <f xml:space="preserve"> COUNTIF(Initials1:Initials8, Initials5) + COUNTIF(Initials9:Initials16, Initials5)</f>
        <v>0</v>
      </c>
    </row>
    <row r="82" spans="1:1" hidden="1" x14ac:dyDescent="0.2">
      <c r="A82" s="11">
        <f>COUNTIF(Initials1:Initials8, Initials6) + COUNTIF(Initials9:Initials16, Initials6)</f>
        <v>0</v>
      </c>
    </row>
    <row r="83" spans="1:1" hidden="1" x14ac:dyDescent="0.2">
      <c r="A83" s="11">
        <f xml:space="preserve"> COUNTIF(Initials1:Initials8, Initials7) + COUNTIF(Initials9:Initials16, Initials7)</f>
        <v>0</v>
      </c>
    </row>
    <row r="84" spans="1:1" hidden="1" x14ac:dyDescent="0.2">
      <c r="A84" s="11">
        <f xml:space="preserve"> COUNTIF(Initials1:Initials8, Initials8) + COUNTIF(Initials9:Initials16, Initials8)</f>
        <v>0</v>
      </c>
    </row>
    <row r="85" spans="1:1" hidden="1" x14ac:dyDescent="0.2">
      <c r="A85" s="11">
        <f xml:space="preserve"> COUNTIF(Initials1:Initials8, Initials9) + COUNTIF(Initials9:Initials16, Initials9)</f>
        <v>0</v>
      </c>
    </row>
    <row r="86" spans="1:1" hidden="1" x14ac:dyDescent="0.2">
      <c r="A86" s="11">
        <f xml:space="preserve"> COUNTIF(Initials1:Initials8, Initials10) + COUNTIF(Initials9:Initials16, Initials10)</f>
        <v>0</v>
      </c>
    </row>
    <row r="87" spans="1:1" hidden="1" x14ac:dyDescent="0.2">
      <c r="A87" s="11">
        <f xml:space="preserve"> COUNTIF(Initials1:Initials8, Initials11) + COUNTIF(Initials9:Initials16, Initials11)</f>
        <v>0</v>
      </c>
    </row>
    <row r="88" spans="1:1" hidden="1" x14ac:dyDescent="0.2">
      <c r="A88" s="11">
        <f xml:space="preserve"> COUNTIF(Initials1:Initials8, Initials12) + COUNTIF(Initials9:Initials16, Initials12)</f>
        <v>0</v>
      </c>
    </row>
    <row r="89" spans="1:1" hidden="1" x14ac:dyDescent="0.2">
      <c r="A89" s="11">
        <f xml:space="preserve"> COUNTIF(Initials1:Initials8, Initials13) + COUNTIF(Initials9:Initials16, Initials13)</f>
        <v>0</v>
      </c>
    </row>
    <row r="90" spans="1:1" hidden="1" x14ac:dyDescent="0.2">
      <c r="A90" s="11">
        <f xml:space="preserve"> COUNTIF(Initials1:Initials8, Initials14) + COUNTIF(Initials9:Initials16, Initials14)</f>
        <v>0</v>
      </c>
    </row>
    <row r="91" spans="1:1" hidden="1" x14ac:dyDescent="0.2">
      <c r="A91" s="11">
        <f xml:space="preserve"> COUNTIF(Initials1:Initials8, Initials15) + COUNTIF(Initials9:Initials16, Initials15)</f>
        <v>0</v>
      </c>
    </row>
    <row r="92" spans="1:1" hidden="1" x14ac:dyDescent="0.2">
      <c r="A92" s="11">
        <f xml:space="preserve"> COUNTIF(Initials1:Initials8, Initials16) + COUNTIF(Initials9:Initials16, Initials16)</f>
        <v>0</v>
      </c>
    </row>
  </sheetData>
  <sheetProtection password="A2E9" sheet="1" objects="1" scenarios="1" formatCells="0" selectLockedCells="1"/>
  <mergeCells count="87">
    <mergeCell ref="A35:A38"/>
    <mergeCell ref="AB34:AC34"/>
    <mergeCell ref="AD34:AF34"/>
    <mergeCell ref="V34:AA34"/>
    <mergeCell ref="A31:A33"/>
    <mergeCell ref="AB35:AC35"/>
    <mergeCell ref="AD35:AG35"/>
    <mergeCell ref="L35:M35"/>
    <mergeCell ref="R36:AA36"/>
    <mergeCell ref="B35:K35"/>
    <mergeCell ref="A4:A5"/>
    <mergeCell ref="Z5:AA5"/>
    <mergeCell ref="H2:O2"/>
    <mergeCell ref="H3:N3"/>
    <mergeCell ref="O3:U3"/>
    <mergeCell ref="X3:AG3"/>
    <mergeCell ref="P2:R2"/>
    <mergeCell ref="S2:T2"/>
    <mergeCell ref="AH1:AL3"/>
    <mergeCell ref="AH4:AL7"/>
    <mergeCell ref="H6:M6"/>
    <mergeCell ref="E6:G6"/>
    <mergeCell ref="N6:P6"/>
    <mergeCell ref="AB5:AG5"/>
    <mergeCell ref="B4:AG4"/>
    <mergeCell ref="B5:Y5"/>
    <mergeCell ref="Q6:V6"/>
    <mergeCell ref="AB6:AG6"/>
    <mergeCell ref="W6:AA6"/>
    <mergeCell ref="B3:G3"/>
    <mergeCell ref="U1:AG1"/>
    <mergeCell ref="U2:V2"/>
    <mergeCell ref="W2:AG2"/>
    <mergeCell ref="V3:W3"/>
    <mergeCell ref="AH8:AL43"/>
    <mergeCell ref="B40:K40"/>
    <mergeCell ref="B6:D6"/>
    <mergeCell ref="B36:K36"/>
    <mergeCell ref="B37:K37"/>
    <mergeCell ref="B38:K38"/>
    <mergeCell ref="B39:K39"/>
    <mergeCell ref="R37:AA37"/>
    <mergeCell ref="B41:K41"/>
    <mergeCell ref="B42:K42"/>
    <mergeCell ref="B43:K43"/>
    <mergeCell ref="R35:AA35"/>
    <mergeCell ref="N35:Q35"/>
    <mergeCell ref="N36:Q36"/>
    <mergeCell ref="N37:Q37"/>
    <mergeCell ref="N38:Q38"/>
    <mergeCell ref="N39:Q39"/>
    <mergeCell ref="N40:Q40"/>
    <mergeCell ref="N41:Q41"/>
    <mergeCell ref="N42:Q42"/>
    <mergeCell ref="N43:Q43"/>
    <mergeCell ref="AD39:AG39"/>
    <mergeCell ref="AD40:AG40"/>
    <mergeCell ref="R43:AA43"/>
    <mergeCell ref="AB36:AC36"/>
    <mergeCell ref="AB37:AC37"/>
    <mergeCell ref="AB38:AC38"/>
    <mergeCell ref="AB39:AC39"/>
    <mergeCell ref="AB40:AC40"/>
    <mergeCell ref="AB41:AC41"/>
    <mergeCell ref="AB42:AC42"/>
    <mergeCell ref="AB43:AC43"/>
    <mergeCell ref="R38:AA38"/>
    <mergeCell ref="R39:AA39"/>
    <mergeCell ref="R40:AA40"/>
    <mergeCell ref="R41:AA41"/>
    <mergeCell ref="R42:AA42"/>
    <mergeCell ref="I1:T1"/>
    <mergeCell ref="B1:H1"/>
    <mergeCell ref="AD41:AG41"/>
    <mergeCell ref="AD42:AG42"/>
    <mergeCell ref="AD43:AG43"/>
    <mergeCell ref="L36:M36"/>
    <mergeCell ref="L37:M37"/>
    <mergeCell ref="L38:M38"/>
    <mergeCell ref="L39:M39"/>
    <mergeCell ref="L40:M40"/>
    <mergeCell ref="L41:M41"/>
    <mergeCell ref="L42:M42"/>
    <mergeCell ref="L43:M43"/>
    <mergeCell ref="AD36:AG36"/>
    <mergeCell ref="AD37:AG37"/>
    <mergeCell ref="AD38:AG38"/>
  </mergeCells>
  <conditionalFormatting sqref="B29:AF30">
    <cfRule type="cellIs" dxfId="4" priority="2" operator="equal">
      <formula>"D"</formula>
    </cfRule>
    <cfRule type="cellIs" dxfId="3" priority="3" operator="equal">
      <formula>"C"</formula>
    </cfRule>
    <cfRule type="cellIs" dxfId="2" priority="4" operator="equal">
      <formula>"B"</formula>
    </cfRule>
    <cfRule type="cellIs" dxfId="1" priority="5" operator="equal">
      <formula>"A"</formula>
    </cfRule>
  </conditionalFormatting>
  <conditionalFormatting sqref="B29:AF29">
    <cfRule type="cellIs" dxfId="0" priority="1" operator="equal">
      <formula>"R"</formula>
    </cfRule>
  </conditionalFormatting>
  <dataValidations count="1">
    <dataValidation type="whole" allowBlank="1" showInputMessage="1" showErrorMessage="1" sqref="B12:AF14 B16:AF28">
      <formula1>0</formula1>
      <formula2>100000</formula2>
    </dataValidation>
  </dataValidations>
  <pageMargins left="0" right="0" top="0.75" bottom="0" header="0.5" footer="0.5"/>
  <pageSetup scale="96" orientation="landscape" r:id="rId1"/>
  <headerFooter alignWithMargins="0"/>
  <rowBreaks count="1" manualBreakCount="1">
    <brk id="41" max="32" man="1"/>
  </rowBreaks>
  <ignoredErrors>
    <ignoredError sqref="I48" formulaRange="1"/>
  </ignoredErrors>
  <drawing r:id="rId2"/>
  <legacyDrawing r:id="rId3"/>
  <controls>
    <mc:AlternateContent xmlns:mc="http://schemas.openxmlformats.org/markup-compatibility/2006">
      <mc:Choice Requires="x14">
        <control shapeId="2407" r:id="rId4" name="CheckBox40">
          <controlPr locked="0" defaultSize="0" autoLine="0" r:id="rId5">
            <anchor moveWithCells="1" sizeWithCells="1">
              <from>
                <xdr:col>5</xdr:col>
                <xdr:colOff>19050</xdr:colOff>
                <xdr:row>0</xdr:row>
                <xdr:rowOff>180975</xdr:rowOff>
              </from>
              <to>
                <xdr:col>5</xdr:col>
                <xdr:colOff>171450</xdr:colOff>
                <xdr:row>0</xdr:row>
                <xdr:rowOff>323850</xdr:rowOff>
              </to>
            </anchor>
          </controlPr>
        </control>
      </mc:Choice>
      <mc:Fallback>
        <control shapeId="2407" r:id="rId4" name="CheckBox40"/>
      </mc:Fallback>
    </mc:AlternateContent>
    <mc:AlternateContent xmlns:mc="http://schemas.openxmlformats.org/markup-compatibility/2006">
      <mc:Choice Requires="x14">
        <control shapeId="2049" r:id="rId6" name="CheckBox1">
          <controlPr locked="0" defaultSize="0" autoLine="0" r:id="rId7">
            <anchor moveWithCells="1" sizeWithCells="1">
              <from>
                <xdr:col>0</xdr:col>
                <xdr:colOff>66675</xdr:colOff>
                <xdr:row>1</xdr:row>
                <xdr:rowOff>47625</xdr:rowOff>
              </from>
              <to>
                <xdr:col>0</xdr:col>
                <xdr:colOff>219075</xdr:colOff>
                <xdr:row>1</xdr:row>
                <xdr:rowOff>190500</xdr:rowOff>
              </to>
            </anchor>
          </controlPr>
        </control>
      </mc:Choice>
      <mc:Fallback>
        <control shapeId="2049" r:id="rId6" name="CheckBox1"/>
      </mc:Fallback>
    </mc:AlternateContent>
    <mc:AlternateContent xmlns:mc="http://schemas.openxmlformats.org/markup-compatibility/2006">
      <mc:Choice Requires="x14">
        <control shapeId="2050" r:id="rId8" name="CheckBox2">
          <controlPr locked="0" defaultSize="0" autoLine="0" r:id="rId9">
            <anchor moveWithCells="1" sizeWithCells="1">
              <from>
                <xdr:col>0</xdr:col>
                <xdr:colOff>790575</xdr:colOff>
                <xdr:row>1</xdr:row>
                <xdr:rowOff>57150</xdr:rowOff>
              </from>
              <to>
                <xdr:col>0</xdr:col>
                <xdr:colOff>942975</xdr:colOff>
                <xdr:row>2</xdr:row>
                <xdr:rowOff>0</xdr:rowOff>
              </to>
            </anchor>
          </controlPr>
        </control>
      </mc:Choice>
      <mc:Fallback>
        <control shapeId="2050" r:id="rId8" name="CheckBox2"/>
      </mc:Fallback>
    </mc:AlternateContent>
    <mc:AlternateContent xmlns:mc="http://schemas.openxmlformats.org/markup-compatibility/2006">
      <mc:Choice Requires="x14">
        <control shapeId="2051" r:id="rId10" name="CheckBox3">
          <controlPr locked="0" defaultSize="0" autoLine="0" r:id="rId11">
            <anchor moveWithCells="1" sizeWithCells="1">
              <from>
                <xdr:col>1</xdr:col>
                <xdr:colOff>142875</xdr:colOff>
                <xdr:row>1</xdr:row>
                <xdr:rowOff>47625</xdr:rowOff>
              </from>
              <to>
                <xdr:col>2</xdr:col>
                <xdr:colOff>9525</xdr:colOff>
                <xdr:row>1</xdr:row>
                <xdr:rowOff>190500</xdr:rowOff>
              </to>
            </anchor>
          </controlPr>
        </control>
      </mc:Choice>
      <mc:Fallback>
        <control shapeId="2051" r:id="rId10" name="CheckBox3"/>
      </mc:Fallback>
    </mc:AlternateContent>
    <mc:AlternateContent xmlns:mc="http://schemas.openxmlformats.org/markup-compatibility/2006">
      <mc:Choice Requires="x14">
        <control shapeId="2052" r:id="rId12" name="CheckBox4">
          <controlPr locked="0" defaultSize="0" autoLine="0" r:id="rId13">
            <anchor moveWithCells="1" sizeWithCells="1">
              <from>
                <xdr:col>4</xdr:col>
                <xdr:colOff>76200</xdr:colOff>
                <xdr:row>1</xdr:row>
                <xdr:rowOff>47625</xdr:rowOff>
              </from>
              <to>
                <xdr:col>4</xdr:col>
                <xdr:colOff>228600</xdr:colOff>
                <xdr:row>1</xdr:row>
                <xdr:rowOff>190500</xdr:rowOff>
              </to>
            </anchor>
          </controlPr>
        </control>
      </mc:Choice>
      <mc:Fallback>
        <control shapeId="2052" r:id="rId12" name="CheckBox4"/>
      </mc:Fallback>
    </mc:AlternateContent>
    <mc:AlternateContent xmlns:mc="http://schemas.openxmlformats.org/markup-compatibility/2006">
      <mc:Choice Requires="x14">
        <control shapeId="2053" r:id="rId14" name="CheckBox5">
          <controlPr locked="0" defaultSize="0" autoLine="0" r:id="rId15">
            <anchor moveWithCells="1" sizeWithCells="1">
              <from>
                <xdr:col>7</xdr:col>
                <xdr:colOff>228600</xdr:colOff>
                <xdr:row>1</xdr:row>
                <xdr:rowOff>47625</xdr:rowOff>
              </from>
              <to>
                <xdr:col>8</xdr:col>
                <xdr:colOff>95250</xdr:colOff>
                <xdr:row>1</xdr:row>
                <xdr:rowOff>190500</xdr:rowOff>
              </to>
            </anchor>
          </controlPr>
        </control>
      </mc:Choice>
      <mc:Fallback>
        <control shapeId="2053" r:id="rId14" name="CheckBox5"/>
      </mc:Fallback>
    </mc:AlternateContent>
    <mc:AlternateContent xmlns:mc="http://schemas.openxmlformats.org/markup-compatibility/2006">
      <mc:Choice Requires="x14">
        <control shapeId="2311" r:id="rId16" name="CheckBox6">
          <controlPr locked="0" defaultSize="0" autoLine="0" r:id="rId17">
            <anchor moveWithCells="1" sizeWithCells="1">
              <from>
                <xdr:col>1</xdr:col>
                <xdr:colOff>57150</xdr:colOff>
                <xdr:row>7</xdr:row>
                <xdr:rowOff>9525</xdr:rowOff>
              </from>
              <to>
                <xdr:col>1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11" r:id="rId16" name="CheckBox6"/>
      </mc:Fallback>
    </mc:AlternateContent>
    <mc:AlternateContent xmlns:mc="http://schemas.openxmlformats.org/markup-compatibility/2006">
      <mc:Choice Requires="x14">
        <control shapeId="2373" r:id="rId18" name="CheckBox7">
          <controlPr locked="0" defaultSize="0" autoLine="0" r:id="rId19">
            <anchor moveWithCells="1" sizeWithCells="1">
              <from>
                <xdr:col>2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73" r:id="rId18" name="CheckBox7"/>
      </mc:Fallback>
    </mc:AlternateContent>
    <mc:AlternateContent xmlns:mc="http://schemas.openxmlformats.org/markup-compatibility/2006">
      <mc:Choice Requires="x14">
        <control shapeId="2374" r:id="rId20" name="CheckBox8">
          <controlPr locked="0" defaultSize="0" autoLine="0" r:id="rId21">
            <anchor moveWithCells="1" sizeWithCells="1">
              <from>
                <xdr:col>3</xdr:col>
                <xdr:colOff>57150</xdr:colOff>
                <xdr:row>7</xdr:row>
                <xdr:rowOff>9525</xdr:rowOff>
              </from>
              <to>
                <xdr:col>3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74" r:id="rId20" name="CheckBox8"/>
      </mc:Fallback>
    </mc:AlternateContent>
    <mc:AlternateContent xmlns:mc="http://schemas.openxmlformats.org/markup-compatibility/2006">
      <mc:Choice Requires="x14">
        <control shapeId="2375" r:id="rId22" name="CheckBox9">
          <controlPr locked="0" defaultSize="0" autoLine="0" r:id="rId23">
            <anchor moveWithCells="1" sizeWithCells="1">
              <from>
                <xdr:col>4</xdr:col>
                <xdr:colOff>57150</xdr:colOff>
                <xdr:row>7</xdr:row>
                <xdr:rowOff>9525</xdr:rowOff>
              </from>
              <to>
                <xdr:col>4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75" r:id="rId22" name="CheckBox9"/>
      </mc:Fallback>
    </mc:AlternateContent>
    <mc:AlternateContent xmlns:mc="http://schemas.openxmlformats.org/markup-compatibility/2006">
      <mc:Choice Requires="x14">
        <control shapeId="2376" r:id="rId24" name="CheckBox10">
          <controlPr locked="0" defaultSize="0" autoLine="0" r:id="rId25">
            <anchor moveWithCells="1" sizeWithCells="1">
              <from>
                <xdr:col>5</xdr:col>
                <xdr:colOff>57150</xdr:colOff>
                <xdr:row>7</xdr:row>
                <xdr:rowOff>9525</xdr:rowOff>
              </from>
              <to>
                <xdr:col>5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76" r:id="rId24" name="CheckBox10"/>
      </mc:Fallback>
    </mc:AlternateContent>
    <mc:AlternateContent xmlns:mc="http://schemas.openxmlformats.org/markup-compatibility/2006">
      <mc:Choice Requires="x14">
        <control shapeId="2377" r:id="rId26" name="CheckBox11">
          <controlPr locked="0" defaultSize="0" autoLine="0" r:id="rId27">
            <anchor moveWithCells="1" sizeWithCells="1">
              <from>
                <xdr:col>6</xdr:col>
                <xdr:colOff>57150</xdr:colOff>
                <xdr:row>7</xdr:row>
                <xdr:rowOff>9525</xdr:rowOff>
              </from>
              <to>
                <xdr:col>6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77" r:id="rId26" name="CheckBox11"/>
      </mc:Fallback>
    </mc:AlternateContent>
    <mc:AlternateContent xmlns:mc="http://schemas.openxmlformats.org/markup-compatibility/2006">
      <mc:Choice Requires="x14">
        <control shapeId="2378" r:id="rId28" name="CheckBox12">
          <controlPr locked="0" defaultSize="0" autoLine="0" r:id="rId29">
            <anchor moveWithCells="1" sizeWithCells="1">
              <from>
                <xdr:col>7</xdr:col>
                <xdr:colOff>57150</xdr:colOff>
                <xdr:row>7</xdr:row>
                <xdr:rowOff>9525</xdr:rowOff>
              </from>
              <to>
                <xdr:col>7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78" r:id="rId28" name="CheckBox12"/>
      </mc:Fallback>
    </mc:AlternateContent>
    <mc:AlternateContent xmlns:mc="http://schemas.openxmlformats.org/markup-compatibility/2006">
      <mc:Choice Requires="x14">
        <control shapeId="2379" r:id="rId30" name="CheckBox13">
          <controlPr locked="0" defaultSize="0" autoLine="0" r:id="rId31">
            <anchor moveWithCells="1" sizeWithCells="1">
              <from>
                <xdr:col>8</xdr:col>
                <xdr:colOff>57150</xdr:colOff>
                <xdr:row>7</xdr:row>
                <xdr:rowOff>9525</xdr:rowOff>
              </from>
              <to>
                <xdr:col>8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79" r:id="rId30" name="CheckBox13"/>
      </mc:Fallback>
    </mc:AlternateContent>
    <mc:AlternateContent xmlns:mc="http://schemas.openxmlformats.org/markup-compatibility/2006">
      <mc:Choice Requires="x14">
        <control shapeId="2380" r:id="rId32" name="CheckBox14">
          <controlPr locked="0" defaultSize="0" autoLine="0" r:id="rId33">
            <anchor moveWithCells="1" sizeWithCells="1">
              <from>
                <xdr:col>9</xdr:col>
                <xdr:colOff>57150</xdr:colOff>
                <xdr:row>7</xdr:row>
                <xdr:rowOff>9525</xdr:rowOff>
              </from>
              <to>
                <xdr:col>9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0" r:id="rId32" name="CheckBox14"/>
      </mc:Fallback>
    </mc:AlternateContent>
    <mc:AlternateContent xmlns:mc="http://schemas.openxmlformats.org/markup-compatibility/2006">
      <mc:Choice Requires="x14">
        <control shapeId="2381" r:id="rId34" name="CheckBox15">
          <controlPr locked="0" defaultSize="0" autoLine="0" r:id="rId35">
            <anchor moveWithCells="1" sizeWithCells="1">
              <from>
                <xdr:col>10</xdr:col>
                <xdr:colOff>57150</xdr:colOff>
                <xdr:row>7</xdr:row>
                <xdr:rowOff>9525</xdr:rowOff>
              </from>
              <to>
                <xdr:col>10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1" r:id="rId34" name="CheckBox15"/>
      </mc:Fallback>
    </mc:AlternateContent>
    <mc:AlternateContent xmlns:mc="http://schemas.openxmlformats.org/markup-compatibility/2006">
      <mc:Choice Requires="x14">
        <control shapeId="2382" r:id="rId36" name="CheckBox16">
          <controlPr locked="0" defaultSize="0" autoLine="0" r:id="rId37">
            <anchor moveWithCells="1" sizeWithCells="1">
              <from>
                <xdr:col>11</xdr:col>
                <xdr:colOff>57150</xdr:colOff>
                <xdr:row>7</xdr:row>
                <xdr:rowOff>9525</xdr:rowOff>
              </from>
              <to>
                <xdr:col>11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2" r:id="rId36" name="CheckBox16"/>
      </mc:Fallback>
    </mc:AlternateContent>
    <mc:AlternateContent xmlns:mc="http://schemas.openxmlformats.org/markup-compatibility/2006">
      <mc:Choice Requires="x14">
        <control shapeId="2383" r:id="rId38" name="CheckBox17">
          <controlPr locked="0" defaultSize="0" autoLine="0" r:id="rId39">
            <anchor moveWithCells="1" sizeWithCells="1">
              <from>
                <xdr:col>12</xdr:col>
                <xdr:colOff>57150</xdr:colOff>
                <xdr:row>7</xdr:row>
                <xdr:rowOff>9525</xdr:rowOff>
              </from>
              <to>
                <xdr:col>12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3" r:id="rId38" name="CheckBox17"/>
      </mc:Fallback>
    </mc:AlternateContent>
    <mc:AlternateContent xmlns:mc="http://schemas.openxmlformats.org/markup-compatibility/2006">
      <mc:Choice Requires="x14">
        <control shapeId="2384" r:id="rId40" name="CheckBox18">
          <controlPr locked="0" defaultSize="0" autoLine="0" r:id="rId41">
            <anchor moveWithCells="1" sizeWithCells="1">
              <from>
                <xdr:col>13</xdr:col>
                <xdr:colOff>57150</xdr:colOff>
                <xdr:row>7</xdr:row>
                <xdr:rowOff>9525</xdr:rowOff>
              </from>
              <to>
                <xdr:col>13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4" r:id="rId40" name="CheckBox18"/>
      </mc:Fallback>
    </mc:AlternateContent>
    <mc:AlternateContent xmlns:mc="http://schemas.openxmlformats.org/markup-compatibility/2006">
      <mc:Choice Requires="x14">
        <control shapeId="2385" r:id="rId42" name="CheckBox19">
          <controlPr locked="0" defaultSize="0" autoLine="0" r:id="rId43">
            <anchor moveWithCells="1" sizeWithCells="1">
              <from>
                <xdr:col>14</xdr:col>
                <xdr:colOff>57150</xdr:colOff>
                <xdr:row>7</xdr:row>
                <xdr:rowOff>9525</xdr:rowOff>
              </from>
              <to>
                <xdr:col>14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5" r:id="rId42" name="CheckBox19"/>
      </mc:Fallback>
    </mc:AlternateContent>
    <mc:AlternateContent xmlns:mc="http://schemas.openxmlformats.org/markup-compatibility/2006">
      <mc:Choice Requires="x14">
        <control shapeId="2386" r:id="rId44" name="CheckBox20">
          <controlPr locked="0" defaultSize="0" autoLine="0" r:id="rId45">
            <anchor moveWithCells="1" sizeWithCells="1">
              <from>
                <xdr:col>15</xdr:col>
                <xdr:colOff>57150</xdr:colOff>
                <xdr:row>7</xdr:row>
                <xdr:rowOff>9525</xdr:rowOff>
              </from>
              <to>
                <xdr:col>15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6" r:id="rId44" name="CheckBox20"/>
      </mc:Fallback>
    </mc:AlternateContent>
    <mc:AlternateContent xmlns:mc="http://schemas.openxmlformats.org/markup-compatibility/2006">
      <mc:Choice Requires="x14">
        <control shapeId="2387" r:id="rId46" name="CheckBox21">
          <controlPr locked="0" defaultSize="0" autoLine="0" r:id="rId47">
            <anchor moveWithCells="1" sizeWithCells="1">
              <from>
                <xdr:col>16</xdr:col>
                <xdr:colOff>57150</xdr:colOff>
                <xdr:row>7</xdr:row>
                <xdr:rowOff>9525</xdr:rowOff>
              </from>
              <to>
                <xdr:col>16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7" r:id="rId46" name="CheckBox21"/>
      </mc:Fallback>
    </mc:AlternateContent>
    <mc:AlternateContent xmlns:mc="http://schemas.openxmlformats.org/markup-compatibility/2006">
      <mc:Choice Requires="x14">
        <control shapeId="2388" r:id="rId48" name="CheckBox22">
          <controlPr locked="0" defaultSize="0" autoLine="0" r:id="rId49">
            <anchor moveWithCells="1" sizeWithCells="1">
              <from>
                <xdr:col>17</xdr:col>
                <xdr:colOff>57150</xdr:colOff>
                <xdr:row>7</xdr:row>
                <xdr:rowOff>9525</xdr:rowOff>
              </from>
              <to>
                <xdr:col>17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8" r:id="rId48" name="CheckBox22"/>
      </mc:Fallback>
    </mc:AlternateContent>
    <mc:AlternateContent xmlns:mc="http://schemas.openxmlformats.org/markup-compatibility/2006">
      <mc:Choice Requires="x14">
        <control shapeId="2389" r:id="rId50" name="CheckBox23">
          <controlPr locked="0" defaultSize="0" autoLine="0" r:id="rId51">
            <anchor moveWithCells="1" sizeWithCells="1">
              <from>
                <xdr:col>18</xdr:col>
                <xdr:colOff>57150</xdr:colOff>
                <xdr:row>7</xdr:row>
                <xdr:rowOff>9525</xdr:rowOff>
              </from>
              <to>
                <xdr:col>18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89" r:id="rId50" name="CheckBox23"/>
      </mc:Fallback>
    </mc:AlternateContent>
    <mc:AlternateContent xmlns:mc="http://schemas.openxmlformats.org/markup-compatibility/2006">
      <mc:Choice Requires="x14">
        <control shapeId="2390" r:id="rId52" name="CheckBox24">
          <controlPr locked="0" defaultSize="0" autoLine="0" r:id="rId53">
            <anchor moveWithCells="1" sizeWithCells="1">
              <from>
                <xdr:col>19</xdr:col>
                <xdr:colOff>57150</xdr:colOff>
                <xdr:row>7</xdr:row>
                <xdr:rowOff>9525</xdr:rowOff>
              </from>
              <to>
                <xdr:col>19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0" r:id="rId52" name="CheckBox24"/>
      </mc:Fallback>
    </mc:AlternateContent>
    <mc:AlternateContent xmlns:mc="http://schemas.openxmlformats.org/markup-compatibility/2006">
      <mc:Choice Requires="x14">
        <control shapeId="2391" r:id="rId54" name="CheckBox25">
          <controlPr locked="0" defaultSize="0" autoLine="0" r:id="rId55">
            <anchor moveWithCells="1" sizeWithCells="1">
              <from>
                <xdr:col>20</xdr:col>
                <xdr:colOff>57150</xdr:colOff>
                <xdr:row>7</xdr:row>
                <xdr:rowOff>9525</xdr:rowOff>
              </from>
              <to>
                <xdr:col>20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1" r:id="rId54" name="CheckBox25"/>
      </mc:Fallback>
    </mc:AlternateContent>
    <mc:AlternateContent xmlns:mc="http://schemas.openxmlformats.org/markup-compatibility/2006">
      <mc:Choice Requires="x14">
        <control shapeId="2392" r:id="rId56" name="CheckBox26">
          <controlPr locked="0" defaultSize="0" autoLine="0" r:id="rId57">
            <anchor moveWithCells="1" sizeWithCells="1">
              <from>
                <xdr:col>21</xdr:col>
                <xdr:colOff>57150</xdr:colOff>
                <xdr:row>7</xdr:row>
                <xdr:rowOff>9525</xdr:rowOff>
              </from>
              <to>
                <xdr:col>21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2" r:id="rId56" name="CheckBox26"/>
      </mc:Fallback>
    </mc:AlternateContent>
    <mc:AlternateContent xmlns:mc="http://schemas.openxmlformats.org/markup-compatibility/2006">
      <mc:Choice Requires="x14">
        <control shapeId="2393" r:id="rId58" name="CheckBox27">
          <controlPr locked="0" defaultSize="0" autoLine="0" r:id="rId59">
            <anchor moveWithCells="1" sizeWithCells="1">
              <from>
                <xdr:col>22</xdr:col>
                <xdr:colOff>57150</xdr:colOff>
                <xdr:row>7</xdr:row>
                <xdr:rowOff>9525</xdr:rowOff>
              </from>
              <to>
                <xdr:col>22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3" r:id="rId58" name="CheckBox27"/>
      </mc:Fallback>
    </mc:AlternateContent>
    <mc:AlternateContent xmlns:mc="http://schemas.openxmlformats.org/markup-compatibility/2006">
      <mc:Choice Requires="x14">
        <control shapeId="2394" r:id="rId60" name="CheckBox28">
          <controlPr locked="0" defaultSize="0" autoLine="0" r:id="rId61">
            <anchor moveWithCells="1" sizeWithCells="1">
              <from>
                <xdr:col>23</xdr:col>
                <xdr:colOff>57150</xdr:colOff>
                <xdr:row>7</xdr:row>
                <xdr:rowOff>9525</xdr:rowOff>
              </from>
              <to>
                <xdr:col>23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4" r:id="rId60" name="CheckBox28"/>
      </mc:Fallback>
    </mc:AlternateContent>
    <mc:AlternateContent xmlns:mc="http://schemas.openxmlformats.org/markup-compatibility/2006">
      <mc:Choice Requires="x14">
        <control shapeId="2395" r:id="rId62" name="CheckBox29">
          <controlPr locked="0" defaultSize="0" autoLine="0" r:id="rId63">
            <anchor moveWithCells="1" sizeWithCells="1">
              <from>
                <xdr:col>24</xdr:col>
                <xdr:colOff>57150</xdr:colOff>
                <xdr:row>7</xdr:row>
                <xdr:rowOff>9525</xdr:rowOff>
              </from>
              <to>
                <xdr:col>24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5" r:id="rId62" name="CheckBox29"/>
      </mc:Fallback>
    </mc:AlternateContent>
    <mc:AlternateContent xmlns:mc="http://schemas.openxmlformats.org/markup-compatibility/2006">
      <mc:Choice Requires="x14">
        <control shapeId="2396" r:id="rId64" name="CheckBox30">
          <controlPr locked="0" defaultSize="0" autoLine="0" r:id="rId65">
            <anchor moveWithCells="1" sizeWithCells="1">
              <from>
                <xdr:col>25</xdr:col>
                <xdr:colOff>57150</xdr:colOff>
                <xdr:row>7</xdr:row>
                <xdr:rowOff>9525</xdr:rowOff>
              </from>
              <to>
                <xdr:col>25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6" r:id="rId64" name="CheckBox30"/>
      </mc:Fallback>
    </mc:AlternateContent>
    <mc:AlternateContent xmlns:mc="http://schemas.openxmlformats.org/markup-compatibility/2006">
      <mc:Choice Requires="x14">
        <control shapeId="2397" r:id="rId66" name="CheckBox31">
          <controlPr locked="0" defaultSize="0" autoLine="0" r:id="rId67">
            <anchor moveWithCells="1" sizeWithCells="1">
              <from>
                <xdr:col>26</xdr:col>
                <xdr:colOff>57150</xdr:colOff>
                <xdr:row>7</xdr:row>
                <xdr:rowOff>9525</xdr:rowOff>
              </from>
              <to>
                <xdr:col>26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7" r:id="rId66" name="CheckBox31"/>
      </mc:Fallback>
    </mc:AlternateContent>
    <mc:AlternateContent xmlns:mc="http://schemas.openxmlformats.org/markup-compatibility/2006">
      <mc:Choice Requires="x14">
        <control shapeId="2398" r:id="rId68" name="CheckBox32">
          <controlPr locked="0" defaultSize="0" autoLine="0" r:id="rId69">
            <anchor moveWithCells="1" sizeWithCells="1">
              <from>
                <xdr:col>27</xdr:col>
                <xdr:colOff>57150</xdr:colOff>
                <xdr:row>7</xdr:row>
                <xdr:rowOff>9525</xdr:rowOff>
              </from>
              <to>
                <xdr:col>27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8" r:id="rId68" name="CheckBox32"/>
      </mc:Fallback>
    </mc:AlternateContent>
    <mc:AlternateContent xmlns:mc="http://schemas.openxmlformats.org/markup-compatibility/2006">
      <mc:Choice Requires="x14">
        <control shapeId="2399" r:id="rId70" name="CheckBox33">
          <controlPr locked="0" defaultSize="0" autoLine="0" r:id="rId71">
            <anchor moveWithCells="1" sizeWithCells="1">
              <from>
                <xdr:col>28</xdr:col>
                <xdr:colOff>57150</xdr:colOff>
                <xdr:row>7</xdr:row>
                <xdr:rowOff>9525</xdr:rowOff>
              </from>
              <to>
                <xdr:col>28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399" r:id="rId70" name="CheckBox33"/>
      </mc:Fallback>
    </mc:AlternateContent>
    <mc:AlternateContent xmlns:mc="http://schemas.openxmlformats.org/markup-compatibility/2006">
      <mc:Choice Requires="x14">
        <control shapeId="2400" r:id="rId72" name="CheckBox34">
          <controlPr locked="0" defaultSize="0" autoLine="0" r:id="rId73">
            <anchor moveWithCells="1" sizeWithCells="1">
              <from>
                <xdr:col>29</xdr:col>
                <xdr:colOff>57150</xdr:colOff>
                <xdr:row>7</xdr:row>
                <xdr:rowOff>9525</xdr:rowOff>
              </from>
              <to>
                <xdr:col>29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400" r:id="rId72" name="CheckBox34"/>
      </mc:Fallback>
    </mc:AlternateContent>
    <mc:AlternateContent xmlns:mc="http://schemas.openxmlformats.org/markup-compatibility/2006">
      <mc:Choice Requires="x14">
        <control shapeId="2401" r:id="rId74" name="CheckBox35">
          <controlPr locked="0" defaultSize="0" autoLine="0" r:id="rId75">
            <anchor moveWithCells="1" sizeWithCells="1">
              <from>
                <xdr:col>30</xdr:col>
                <xdr:colOff>57150</xdr:colOff>
                <xdr:row>7</xdr:row>
                <xdr:rowOff>9525</xdr:rowOff>
              </from>
              <to>
                <xdr:col>30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401" r:id="rId74" name="CheckBox35"/>
      </mc:Fallback>
    </mc:AlternateContent>
    <mc:AlternateContent xmlns:mc="http://schemas.openxmlformats.org/markup-compatibility/2006">
      <mc:Choice Requires="x14">
        <control shapeId="2402" r:id="rId76" name="CheckBox36">
          <controlPr locked="0" defaultSize="0" autoLine="0" r:id="rId77">
            <anchor moveWithCells="1" sizeWithCells="1">
              <from>
                <xdr:col>31</xdr:col>
                <xdr:colOff>57150</xdr:colOff>
                <xdr:row>7</xdr:row>
                <xdr:rowOff>9525</xdr:rowOff>
              </from>
              <to>
                <xdr:col>31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2402" r:id="rId76" name="CheckBox36"/>
      </mc:Fallback>
    </mc:AlternateContent>
    <mc:AlternateContent xmlns:mc="http://schemas.openxmlformats.org/markup-compatibility/2006">
      <mc:Choice Requires="x14">
        <control shapeId="2404" r:id="rId78" name="CheckBox37">
          <controlPr locked="0" defaultSize="0" autoLine="0" r:id="rId79">
            <anchor moveWithCells="1" sizeWithCells="1">
              <from>
                <xdr:col>0</xdr:col>
                <xdr:colOff>342900</xdr:colOff>
                <xdr:row>0</xdr:row>
                <xdr:rowOff>180975</xdr:rowOff>
              </from>
              <to>
                <xdr:col>0</xdr:col>
                <xdr:colOff>495300</xdr:colOff>
                <xdr:row>0</xdr:row>
                <xdr:rowOff>323850</xdr:rowOff>
              </to>
            </anchor>
          </controlPr>
        </control>
      </mc:Choice>
      <mc:Fallback>
        <control shapeId="2404" r:id="rId78" name="CheckBox37"/>
      </mc:Fallback>
    </mc:AlternateContent>
    <mc:AlternateContent xmlns:mc="http://schemas.openxmlformats.org/markup-compatibility/2006">
      <mc:Choice Requires="x14">
        <control shapeId="2405" r:id="rId80" name="CheckBox38">
          <controlPr locked="0" defaultSize="0" autoLine="0" r:id="rId81">
            <anchor moveWithCells="1" sizeWithCells="1">
              <from>
                <xdr:col>0</xdr:col>
                <xdr:colOff>1019175</xdr:colOff>
                <xdr:row>0</xdr:row>
                <xdr:rowOff>180975</xdr:rowOff>
              </from>
              <to>
                <xdr:col>0</xdr:col>
                <xdr:colOff>1171575</xdr:colOff>
                <xdr:row>0</xdr:row>
                <xdr:rowOff>323850</xdr:rowOff>
              </to>
            </anchor>
          </controlPr>
        </control>
      </mc:Choice>
      <mc:Fallback>
        <control shapeId="2405" r:id="rId80" name="CheckBox38"/>
      </mc:Fallback>
    </mc:AlternateContent>
    <mc:AlternateContent xmlns:mc="http://schemas.openxmlformats.org/markup-compatibility/2006">
      <mc:Choice Requires="x14">
        <control shapeId="2406" r:id="rId82" name="CheckBox39">
          <controlPr locked="0" defaultSize="0" autoLine="0" r:id="rId83">
            <anchor moveWithCells="1" sizeWithCells="1">
              <from>
                <xdr:col>2</xdr:col>
                <xdr:colOff>219075</xdr:colOff>
                <xdr:row>0</xdr:row>
                <xdr:rowOff>180975</xdr:rowOff>
              </from>
              <to>
                <xdr:col>3</xdr:col>
                <xdr:colOff>85725</xdr:colOff>
                <xdr:row>0</xdr:row>
                <xdr:rowOff>323850</xdr:rowOff>
              </to>
            </anchor>
          </controlPr>
        </control>
      </mc:Choice>
      <mc:Fallback>
        <control shapeId="2406" r:id="rId82" name="CheckBox39"/>
      </mc:Fallback>
    </mc:AlternateContent>
    <mc:AlternateContent xmlns:mc="http://schemas.openxmlformats.org/markup-compatibility/2006">
      <mc:Choice Requires="x14">
        <control shapeId="2058" r:id="rId84" name="Label 10">
          <controlPr defaultSize="0" autoFill="0" autoLine="0" autoPict="0" macro="[0]!Protect_InitialsB1">
            <anchor moveWithCells="1">
              <from>
                <xdr:col>1</xdr:col>
                <xdr:colOff>19050</xdr:colOff>
                <xdr:row>30</xdr:row>
                <xdr:rowOff>0</xdr:rowOff>
              </from>
              <to>
                <xdr:col>2</xdr:col>
                <xdr:colOff>19050</xdr:colOff>
                <xdr:row>30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85" name="Label 12">
          <controlPr defaultSize="0" autoFill="0" autoLine="0" autoPict="0" macro="[0]!Protect_InitialsG2">
            <anchor moveWithCells="1">
              <from>
                <xdr:col>6</xdr:col>
                <xdr:colOff>19050</xdr:colOff>
                <xdr:row>31</xdr:row>
                <xdr:rowOff>0</xdr:rowOff>
              </from>
              <to>
                <xdr:col>7</xdr:col>
                <xdr:colOff>19050</xdr:colOff>
                <xdr:row>31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86" name="Label 13">
          <controlPr defaultSize="0" autoFill="0" autoLine="0" autoPict="0" macro="[0]!Protect_InitialsC1">
            <anchor moveWithCells="1">
              <from>
                <xdr:col>2</xdr:col>
                <xdr:colOff>19050</xdr:colOff>
                <xdr:row>30</xdr:row>
                <xdr:rowOff>9525</xdr:rowOff>
              </from>
              <to>
                <xdr:col>3</xdr:col>
                <xdr:colOff>9525</xdr:colOff>
                <xdr:row>30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7" name="Label 14">
          <controlPr defaultSize="0" autoFill="0" autoLine="0" autoPict="0" macro="[0]!Protect_InitialsC2">
            <anchor moveWithCells="1" sizeWithCells="1">
              <from>
                <xdr:col>2</xdr:col>
                <xdr:colOff>9525</xdr:colOff>
                <xdr:row>31</xdr:row>
                <xdr:rowOff>0</xdr:rowOff>
              </from>
              <to>
                <xdr:col>3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88" name="Label 15">
          <controlPr defaultSize="0" autoFill="0" autoLine="0" autoPict="0" macro="[0]!Protect_InitialsD1">
            <anchor moveWithCells="1" sizeWithCells="1">
              <from>
                <xdr:col>3</xdr:col>
                <xdr:colOff>9525</xdr:colOff>
                <xdr:row>30</xdr:row>
                <xdr:rowOff>0</xdr:rowOff>
              </from>
              <to>
                <xdr:col>4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89" name="Label 16">
          <controlPr defaultSize="0" autoFill="0" autoLine="0" autoPict="0" macro="[0]!Protect_InitialsD2">
            <anchor moveWithCells="1" sizeWithCells="1">
              <from>
                <xdr:col>3</xdr:col>
                <xdr:colOff>9525</xdr:colOff>
                <xdr:row>31</xdr:row>
                <xdr:rowOff>0</xdr:rowOff>
              </from>
              <to>
                <xdr:col>4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0" name="Label 17">
          <controlPr defaultSize="0" autoFill="0" autoLine="0" autoPict="0" macro="[0]!Protect_InitialsE1">
            <anchor moveWithCells="1" sizeWithCells="1">
              <from>
                <xdr:col>4</xdr:col>
                <xdr:colOff>9525</xdr:colOff>
                <xdr:row>30</xdr:row>
                <xdr:rowOff>0</xdr:rowOff>
              </from>
              <to>
                <xdr:col>5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91" name="Label 18">
          <controlPr defaultSize="0" autoFill="0" autoLine="0" autoPict="0" macro="[0]!Protect_InitialsJ2">
            <anchor moveWithCells="1" sizeWithCells="1">
              <from>
                <xdr:col>9</xdr:col>
                <xdr:colOff>9525</xdr:colOff>
                <xdr:row>31</xdr:row>
                <xdr:rowOff>0</xdr:rowOff>
              </from>
              <to>
                <xdr:col>10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92" name="Label 79">
          <controlPr defaultSize="0" autoFill="0" autoLine="0" autoPict="0" macro="[0]!Protect_InitialsF1">
            <anchor moveWithCells="1" sizeWithCells="1">
              <from>
                <xdr:col>5</xdr:col>
                <xdr:colOff>9525</xdr:colOff>
                <xdr:row>30</xdr:row>
                <xdr:rowOff>0</xdr:rowOff>
              </from>
              <to>
                <xdr:col>6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r:id="rId93" name="Label 82">
          <controlPr defaultSize="0" autoFill="0" autoLine="0" autoPict="0" macro="[0]!Protect_InitialsK2">
            <anchor moveWithCells="1" sizeWithCells="1">
              <from>
                <xdr:col>10</xdr:col>
                <xdr:colOff>9525</xdr:colOff>
                <xdr:row>31</xdr:row>
                <xdr:rowOff>0</xdr:rowOff>
              </from>
              <to>
                <xdr:col>11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94" name="Label 83">
          <controlPr defaultSize="0" autoFill="0" autoLine="0" autoPict="0" macro="[0]!Protect_InitialsG1">
            <anchor moveWithCells="1" sizeWithCells="1">
              <from>
                <xdr:col>6</xdr:col>
                <xdr:colOff>9525</xdr:colOff>
                <xdr:row>30</xdr:row>
                <xdr:rowOff>0</xdr:rowOff>
              </from>
              <to>
                <xdr:col>7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2" r:id="rId95" name="Label 84">
          <controlPr defaultSize="0" autoFill="0" autoLine="0" autoPict="0" macro="[0]!Protect_InitialsL2">
            <anchor moveWithCells="1" sizeWithCells="1">
              <from>
                <xdr:col>11</xdr:col>
                <xdr:colOff>9525</xdr:colOff>
                <xdr:row>31</xdr:row>
                <xdr:rowOff>0</xdr:rowOff>
              </from>
              <to>
                <xdr:col>12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r:id="rId96" name="Label 85">
          <controlPr defaultSize="0" autoFill="0" autoLine="0" autoPict="0" macro="[0]!Protect_InitialsH1">
            <anchor moveWithCells="1" sizeWithCells="1">
              <from>
                <xdr:col>7</xdr:col>
                <xdr:colOff>9525</xdr:colOff>
                <xdr:row>30</xdr:row>
                <xdr:rowOff>0</xdr:rowOff>
              </from>
              <to>
                <xdr:col>8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4" r:id="rId97" name="Label 86">
          <controlPr defaultSize="0" autoFill="0" autoLine="0" autoPict="0" macro="[0]!Protect_InitialsM2">
            <anchor moveWithCells="1" sizeWithCells="1">
              <from>
                <xdr:col>12</xdr:col>
                <xdr:colOff>9525</xdr:colOff>
                <xdr:row>31</xdr:row>
                <xdr:rowOff>0</xdr:rowOff>
              </from>
              <to>
                <xdr:col>13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r:id="rId98" name="Label 87">
          <controlPr defaultSize="0" autoFill="0" autoLine="0" autoPict="0" macro="[0]!Protect_InitialsI1">
            <anchor moveWithCells="1" sizeWithCells="1">
              <from>
                <xdr:col>8</xdr:col>
                <xdr:colOff>9525</xdr:colOff>
                <xdr:row>30</xdr:row>
                <xdr:rowOff>0</xdr:rowOff>
              </from>
              <to>
                <xdr:col>9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6" r:id="rId99" name="Label 88">
          <controlPr defaultSize="0" autoFill="0" autoLine="0" autoPict="0" macro="[0]!Protect_InitialsN2">
            <anchor moveWithCells="1" sizeWithCells="1">
              <from>
                <xdr:col>13</xdr:col>
                <xdr:colOff>9525</xdr:colOff>
                <xdr:row>31</xdr:row>
                <xdr:rowOff>0</xdr:rowOff>
              </from>
              <to>
                <xdr:col>14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7" r:id="rId100" name="Label 89">
          <controlPr defaultSize="0" autoFill="0" autoLine="0" autoPict="0" macro="[0]!Protect_InitialsJ1">
            <anchor moveWithCells="1" sizeWithCells="1">
              <from>
                <xdr:col>9</xdr:col>
                <xdr:colOff>9525</xdr:colOff>
                <xdr:row>30</xdr:row>
                <xdr:rowOff>0</xdr:rowOff>
              </from>
              <to>
                <xdr:col>10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8" r:id="rId101" name="Label 90">
          <controlPr defaultSize="0" autoFill="0" autoLine="0" autoPict="0" macro="[0]!Protect_InitialsO2">
            <anchor moveWithCells="1" sizeWithCells="1">
              <from>
                <xdr:col>14</xdr:col>
                <xdr:colOff>9525</xdr:colOff>
                <xdr:row>31</xdr:row>
                <xdr:rowOff>0</xdr:rowOff>
              </from>
              <to>
                <xdr:col>15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9" r:id="rId102" name="Label 91">
          <controlPr defaultSize="0" autoFill="0" autoLine="0" autoPict="0" macro="[0]!Protect_InitialsK1">
            <anchor moveWithCells="1" sizeWithCells="1">
              <from>
                <xdr:col>10</xdr:col>
                <xdr:colOff>9525</xdr:colOff>
                <xdr:row>30</xdr:row>
                <xdr:rowOff>0</xdr:rowOff>
              </from>
              <to>
                <xdr:col>11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0" r:id="rId103" name="Label 92">
          <controlPr defaultSize="0" autoFill="0" autoLine="0" autoPict="0" macro="[0]!Protect_InitialsP2">
            <anchor moveWithCells="1" sizeWithCells="1">
              <from>
                <xdr:col>15</xdr:col>
                <xdr:colOff>9525</xdr:colOff>
                <xdr:row>31</xdr:row>
                <xdr:rowOff>0</xdr:rowOff>
              </from>
              <to>
                <xdr:col>16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1" r:id="rId104" name="Label 93">
          <controlPr defaultSize="0" autoFill="0" autoLine="0" autoPict="0" macro="[0]!Protect_InitialsL1">
            <anchor moveWithCells="1" sizeWithCells="1">
              <from>
                <xdr:col>11</xdr:col>
                <xdr:colOff>9525</xdr:colOff>
                <xdr:row>30</xdr:row>
                <xdr:rowOff>0</xdr:rowOff>
              </from>
              <to>
                <xdr:col>12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2" r:id="rId105" name="Label 94">
          <controlPr defaultSize="0" autoFill="0" autoLine="0" autoPict="0" macro="[0]!Protect_InitialsQ2">
            <anchor moveWithCells="1" sizeWithCells="1">
              <from>
                <xdr:col>16</xdr:col>
                <xdr:colOff>9525</xdr:colOff>
                <xdr:row>31</xdr:row>
                <xdr:rowOff>0</xdr:rowOff>
              </from>
              <to>
                <xdr:col>17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3" r:id="rId106" name="Label 95">
          <controlPr defaultSize="0" autoFill="0" autoLine="0" autoPict="0" macro="[0]!Protect_InitialsM1">
            <anchor moveWithCells="1" sizeWithCells="1">
              <from>
                <xdr:col>12</xdr:col>
                <xdr:colOff>9525</xdr:colOff>
                <xdr:row>30</xdr:row>
                <xdr:rowOff>0</xdr:rowOff>
              </from>
              <to>
                <xdr:col>13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4" r:id="rId107" name="Label 96">
          <controlPr defaultSize="0" autoFill="0" autoLine="0" autoPict="0" macro="[0]!Protect_InitialsR2">
            <anchor moveWithCells="1" sizeWithCells="1">
              <from>
                <xdr:col>17</xdr:col>
                <xdr:colOff>9525</xdr:colOff>
                <xdr:row>31</xdr:row>
                <xdr:rowOff>0</xdr:rowOff>
              </from>
              <to>
                <xdr:col>18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5" r:id="rId108" name="Label 97">
          <controlPr defaultSize="0" autoFill="0" autoLine="0" autoPict="0" macro="[0]!Protect_InitialsN1">
            <anchor moveWithCells="1" sizeWithCells="1">
              <from>
                <xdr:col>13</xdr:col>
                <xdr:colOff>9525</xdr:colOff>
                <xdr:row>30</xdr:row>
                <xdr:rowOff>0</xdr:rowOff>
              </from>
              <to>
                <xdr:col>14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7" r:id="rId109" name="Label 99">
          <controlPr defaultSize="0" autoFill="0" autoLine="0" autoPict="0" macro="[0]!Protect_InitialsO1">
            <anchor moveWithCells="1" sizeWithCells="1">
              <from>
                <xdr:col>14</xdr:col>
                <xdr:colOff>9525</xdr:colOff>
                <xdr:row>30</xdr:row>
                <xdr:rowOff>0</xdr:rowOff>
              </from>
              <to>
                <xdr:col>15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9" r:id="rId110" name="Label 101">
          <controlPr defaultSize="0" autoFill="0" autoLine="0" autoPict="0" macro="[0]!Protect_InitialsP1">
            <anchor moveWithCells="1" sizeWithCells="1">
              <from>
                <xdr:col>15</xdr:col>
                <xdr:colOff>9525</xdr:colOff>
                <xdr:row>30</xdr:row>
                <xdr:rowOff>0</xdr:rowOff>
              </from>
              <to>
                <xdr:col>16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" r:id="rId111" name="Label 103">
          <controlPr defaultSize="0" autoFill="0" autoLine="0" autoPict="0" macro="[0]!Protect_InitialsQ1">
            <anchor moveWithCells="1" sizeWithCells="1">
              <from>
                <xdr:col>16</xdr:col>
                <xdr:colOff>9525</xdr:colOff>
                <xdr:row>30</xdr:row>
                <xdr:rowOff>0</xdr:rowOff>
              </from>
              <to>
                <xdr:col>17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3" r:id="rId112" name="Label 105">
          <controlPr defaultSize="0" autoFill="0" autoLine="0" autoPict="0" macro="[0]!Protect_InitialsR1">
            <anchor moveWithCells="1" sizeWithCells="1">
              <from>
                <xdr:col>17</xdr:col>
                <xdr:colOff>9525</xdr:colOff>
                <xdr:row>30</xdr:row>
                <xdr:rowOff>0</xdr:rowOff>
              </from>
              <to>
                <xdr:col>18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5" r:id="rId113" name="Label 107">
          <controlPr defaultSize="0" autoFill="0" autoLine="0" autoPict="0" macro="[0]!Protect_InitialsS1">
            <anchor moveWithCells="1" sizeWithCells="1">
              <from>
                <xdr:col>18</xdr:col>
                <xdr:colOff>9525</xdr:colOff>
                <xdr:row>30</xdr:row>
                <xdr:rowOff>0</xdr:rowOff>
              </from>
              <to>
                <xdr:col>19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6" r:id="rId114" name="Label 108">
          <controlPr defaultSize="0" autoFill="0" autoLine="0" autoPict="0" macro="[0]!Protect_InitialsS2">
            <anchor moveWithCells="1" sizeWithCells="1">
              <from>
                <xdr:col>18</xdr:col>
                <xdr:colOff>9525</xdr:colOff>
                <xdr:row>31</xdr:row>
                <xdr:rowOff>0</xdr:rowOff>
              </from>
              <to>
                <xdr:col>19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r:id="rId115" name="Label 109">
          <controlPr defaultSize="0" autoFill="0" autoLine="0" autoPict="0" macro="[0]!Protect_InitialsT1">
            <anchor moveWithCells="1" sizeWithCells="1">
              <from>
                <xdr:col>19</xdr:col>
                <xdr:colOff>9525</xdr:colOff>
                <xdr:row>30</xdr:row>
                <xdr:rowOff>0</xdr:rowOff>
              </from>
              <to>
                <xdr:col>20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8" r:id="rId116" name="Label 110">
          <controlPr defaultSize="0" autoFill="0" autoLine="0" autoPict="0" macro="[0]!Protect_InitialsT2">
            <anchor moveWithCells="1" sizeWithCells="1">
              <from>
                <xdr:col>19</xdr:col>
                <xdr:colOff>9525</xdr:colOff>
                <xdr:row>31</xdr:row>
                <xdr:rowOff>0</xdr:rowOff>
              </from>
              <to>
                <xdr:col>20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9" r:id="rId117" name="Label 111">
          <controlPr defaultSize="0" autoFill="0" autoLine="0" autoPict="0" macro="[0]!Protect_InitialsU1">
            <anchor moveWithCells="1" sizeWithCells="1">
              <from>
                <xdr:col>20</xdr:col>
                <xdr:colOff>9525</xdr:colOff>
                <xdr:row>30</xdr:row>
                <xdr:rowOff>0</xdr:rowOff>
              </from>
              <to>
                <xdr:col>21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1" r:id="rId118" name="Label 113">
          <controlPr defaultSize="0" autoFill="0" autoLine="0" autoPict="0" macro="[0]!Protect_InitialsU2">
            <anchor moveWithCells="1" sizeWithCells="1">
              <from>
                <xdr:col>20</xdr:col>
                <xdr:colOff>9525</xdr:colOff>
                <xdr:row>31</xdr:row>
                <xdr:rowOff>0</xdr:rowOff>
              </from>
              <to>
                <xdr:col>21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2" r:id="rId119" name="Label 114">
          <controlPr defaultSize="0" autoFill="0" autoLine="0" autoPict="0" macro="[0]!Protect_InitialsV1">
            <anchor moveWithCells="1" sizeWithCells="1">
              <from>
                <xdr:col>21</xdr:col>
                <xdr:colOff>9525</xdr:colOff>
                <xdr:row>30</xdr:row>
                <xdr:rowOff>0</xdr:rowOff>
              </from>
              <to>
                <xdr:col>22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4" r:id="rId120" name="Label 116">
          <controlPr defaultSize="0" autoFill="0" autoLine="0" autoPict="0" macro="[0]!Protect_InitialsW1">
            <anchor moveWithCells="1" sizeWithCells="1">
              <from>
                <xdr:col>22</xdr:col>
                <xdr:colOff>9525</xdr:colOff>
                <xdr:row>30</xdr:row>
                <xdr:rowOff>0</xdr:rowOff>
              </from>
              <to>
                <xdr:col>23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5" r:id="rId121" name="Label 117">
          <controlPr defaultSize="0" autoFill="0" autoLine="0" autoPict="0" macro="[0]!Protect_InitialsW2">
            <anchor moveWithCells="1" sizeWithCells="1">
              <from>
                <xdr:col>22</xdr:col>
                <xdr:colOff>9525</xdr:colOff>
                <xdr:row>31</xdr:row>
                <xdr:rowOff>0</xdr:rowOff>
              </from>
              <to>
                <xdr:col>23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6" r:id="rId122" name="Label 118">
          <controlPr defaultSize="0" autoFill="0" autoLine="0" autoPict="0" macro="[0]!Protect_InitialsX1">
            <anchor moveWithCells="1" sizeWithCells="1">
              <from>
                <xdr:col>23</xdr:col>
                <xdr:colOff>9525</xdr:colOff>
                <xdr:row>30</xdr:row>
                <xdr:rowOff>0</xdr:rowOff>
              </from>
              <to>
                <xdr:col>24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8" r:id="rId123" name="Label 120">
          <controlPr defaultSize="0" autoFill="0" autoLine="0" autoPict="0" macro="[0]!Protect_InitialsY1">
            <anchor moveWithCells="1" sizeWithCells="1">
              <from>
                <xdr:col>24</xdr:col>
                <xdr:colOff>9525</xdr:colOff>
                <xdr:row>30</xdr:row>
                <xdr:rowOff>0</xdr:rowOff>
              </from>
              <to>
                <xdr:col>25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0" r:id="rId124" name="Label 122">
          <controlPr defaultSize="0" autoFill="0" autoLine="0" autoPict="0" macro="[0]!Protect_InitialsZ1">
            <anchor moveWithCells="1" sizeWithCells="1">
              <from>
                <xdr:col>25</xdr:col>
                <xdr:colOff>9525</xdr:colOff>
                <xdr:row>30</xdr:row>
                <xdr:rowOff>0</xdr:rowOff>
              </from>
              <to>
                <xdr:col>26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2" r:id="rId125" name="Label 124">
          <controlPr defaultSize="0" autoFill="0" autoLine="0" autoPict="0" macro="[0]!Protect_InitialsAA1">
            <anchor moveWithCells="1" sizeWithCells="1">
              <from>
                <xdr:col>26</xdr:col>
                <xdr:colOff>9525</xdr:colOff>
                <xdr:row>30</xdr:row>
                <xdr:rowOff>0</xdr:rowOff>
              </from>
              <to>
                <xdr:col>27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4" r:id="rId126" name="Label 126">
          <controlPr defaultSize="0" autoFill="0" autoLine="0" autoPict="0" macro="[0]!Protect_InitialsAB1">
            <anchor moveWithCells="1" sizeWithCells="1">
              <from>
                <xdr:col>27</xdr:col>
                <xdr:colOff>9525</xdr:colOff>
                <xdr:row>30</xdr:row>
                <xdr:rowOff>0</xdr:rowOff>
              </from>
              <to>
                <xdr:col>28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6" r:id="rId127" name="Label 128">
          <controlPr defaultSize="0" autoFill="0" autoLine="0" autoPict="0" macro="[0]!Protect_InitialsAC1">
            <anchor moveWithCells="1" sizeWithCells="1">
              <from>
                <xdr:col>28</xdr:col>
                <xdr:colOff>9525</xdr:colOff>
                <xdr:row>30</xdr:row>
                <xdr:rowOff>0</xdr:rowOff>
              </from>
              <to>
                <xdr:col>29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r:id="rId128" name="Label 130">
          <controlPr defaultSize="0" autoFill="0" autoLine="0" autoPict="0" macro="[0]!Protect_InitialsAD1">
            <anchor moveWithCells="1" sizeWithCells="1">
              <from>
                <xdr:col>29</xdr:col>
                <xdr:colOff>9525</xdr:colOff>
                <xdr:row>30</xdr:row>
                <xdr:rowOff>0</xdr:rowOff>
              </from>
              <to>
                <xdr:col>30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0" r:id="rId129" name="Label 132">
          <controlPr defaultSize="0" autoFill="0" autoLine="0" autoPict="0" macro="[0]!Protect_InitialsAE1">
            <anchor moveWithCells="1" sizeWithCells="1">
              <from>
                <xdr:col>30</xdr:col>
                <xdr:colOff>9525</xdr:colOff>
                <xdr:row>30</xdr:row>
                <xdr:rowOff>0</xdr:rowOff>
              </from>
              <to>
                <xdr:col>31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2" r:id="rId130" name="Label 134">
          <controlPr defaultSize="0" autoFill="0" autoLine="0" autoPict="0" macro="[0]!Protect_InitialsAF1">
            <anchor moveWithCells="1" sizeWithCells="1">
              <from>
                <xdr:col>31</xdr:col>
                <xdr:colOff>9525</xdr:colOff>
                <xdr:row>29</xdr:row>
                <xdr:rowOff>304800</xdr:rowOff>
              </from>
              <to>
                <xdr:col>32</xdr:col>
                <xdr:colOff>9525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4" r:id="rId131" name="Label 136">
          <controlPr defaultSize="0" autoFill="0" autoLine="0" autoPict="0" macro="[0]!Protect_InitialsB2">
            <anchor moveWithCells="1">
              <from>
                <xdr:col>1</xdr:col>
                <xdr:colOff>19050</xdr:colOff>
                <xdr:row>31</xdr:row>
                <xdr:rowOff>0</xdr:rowOff>
              </from>
              <to>
                <xdr:col>2</xdr:col>
                <xdr:colOff>19050</xdr:colOff>
                <xdr:row>31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r:id="rId132" name="Label 137">
          <controlPr defaultSize="0" autoFill="0" autoLine="0" autoPict="0" macro="[0]!Protect_InitialsE2">
            <anchor moveWithCells="1" sizeWithCells="1">
              <from>
                <xdr:col>4</xdr:col>
                <xdr:colOff>9525</xdr:colOff>
                <xdr:row>31</xdr:row>
                <xdr:rowOff>0</xdr:rowOff>
              </from>
              <to>
                <xdr:col>5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r:id="rId133" name="Label 138">
          <controlPr defaultSize="0" autoFill="0" autoLine="0" autoPict="0" macro="[0]!Protect_InitialsF2">
            <anchor moveWithCells="1" sizeWithCells="1">
              <from>
                <xdr:col>5</xdr:col>
                <xdr:colOff>9525</xdr:colOff>
                <xdr:row>31</xdr:row>
                <xdr:rowOff>0</xdr:rowOff>
              </from>
              <to>
                <xdr:col>6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7" r:id="rId134" name="Label 139">
          <controlPr defaultSize="0" autoFill="0" autoLine="0" autoPict="0" macro="[0]!Protect_InitialsH2">
            <anchor moveWithCells="1" sizeWithCells="1">
              <from>
                <xdr:col>7</xdr:col>
                <xdr:colOff>9525</xdr:colOff>
                <xdr:row>31</xdr:row>
                <xdr:rowOff>0</xdr:rowOff>
              </from>
              <to>
                <xdr:col>8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r:id="rId135" name="Label 140">
          <controlPr defaultSize="0" autoFill="0" autoLine="0" autoPict="0" macro="[0]!Protect_InitialsI2">
            <anchor moveWithCells="1" sizeWithCells="1">
              <from>
                <xdr:col>8</xdr:col>
                <xdr:colOff>9525</xdr:colOff>
                <xdr:row>31</xdr:row>
                <xdr:rowOff>0</xdr:rowOff>
              </from>
              <to>
                <xdr:col>9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2" r:id="rId136" name="Label 144">
          <controlPr defaultSize="0" autoFill="0" autoLine="0" autoPict="0" macro="[0]!Protect_InitialsZ2">
            <anchor moveWithCells="1" sizeWithCells="1">
              <from>
                <xdr:col>25</xdr:col>
                <xdr:colOff>9525</xdr:colOff>
                <xdr:row>31</xdr:row>
                <xdr:rowOff>0</xdr:rowOff>
              </from>
              <to>
                <xdr:col>26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4" r:id="rId137" name="Label 146">
          <controlPr defaultSize="0" autoFill="0" autoLine="0" autoPict="0" macro="[0]!Protect_InitialsAA2">
            <anchor moveWithCells="1" sizeWithCells="1">
              <from>
                <xdr:col>26</xdr:col>
                <xdr:colOff>9525</xdr:colOff>
                <xdr:row>31</xdr:row>
                <xdr:rowOff>0</xdr:rowOff>
              </from>
              <to>
                <xdr:col>27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5" r:id="rId138" name="Label 147">
          <controlPr defaultSize="0" autoFill="0" autoLine="0" autoPict="0" macro="[0]!Protect_InitialsAB2">
            <anchor moveWithCells="1" sizeWithCells="1">
              <from>
                <xdr:col>27</xdr:col>
                <xdr:colOff>9525</xdr:colOff>
                <xdr:row>31</xdr:row>
                <xdr:rowOff>0</xdr:rowOff>
              </from>
              <to>
                <xdr:col>28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6" r:id="rId139" name="Label 148">
          <controlPr defaultSize="0" autoFill="0" autoLine="0" autoPict="0" macro="[0]!Protect_InitialsAC2">
            <anchor moveWithCells="1" sizeWithCells="1">
              <from>
                <xdr:col>28</xdr:col>
                <xdr:colOff>9525</xdr:colOff>
                <xdr:row>31</xdr:row>
                <xdr:rowOff>0</xdr:rowOff>
              </from>
              <to>
                <xdr:col>29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7" r:id="rId140" name="Label 149">
          <controlPr defaultSize="0" autoFill="0" autoLine="0" autoPict="0" macro="[0]!Protect_InitialsAD2">
            <anchor moveWithCells="1" sizeWithCells="1">
              <from>
                <xdr:col>29</xdr:col>
                <xdr:colOff>9525</xdr:colOff>
                <xdr:row>31</xdr:row>
                <xdr:rowOff>0</xdr:rowOff>
              </from>
              <to>
                <xdr:col>30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8" r:id="rId141" name="Label 150">
          <controlPr defaultSize="0" autoFill="0" autoLine="0" autoPict="0" macro="[0]!Protect_InitialsAE2">
            <anchor moveWithCells="1" sizeWithCells="1">
              <from>
                <xdr:col>30</xdr:col>
                <xdr:colOff>9525</xdr:colOff>
                <xdr:row>31</xdr:row>
                <xdr:rowOff>0</xdr:rowOff>
              </from>
              <to>
                <xdr:col>31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9" r:id="rId142" name="Label 151">
          <controlPr defaultSize="0" autoFill="0" autoLine="0" autoPict="0" macro="[0]!Protect_InitialsAF2">
            <anchor moveWithCells="1" sizeWithCells="1">
              <from>
                <xdr:col>31</xdr:col>
                <xdr:colOff>9525</xdr:colOff>
                <xdr:row>31</xdr:row>
                <xdr:rowOff>0</xdr:rowOff>
              </from>
              <to>
                <xdr:col>32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7" r:id="rId143" name="Label 159">
          <controlPr defaultSize="0" autoFill="0" autoLine="0" autoPict="0" macro="[0]!Protect_InitialsV2">
            <anchor moveWithCells="1" sizeWithCells="1">
              <from>
                <xdr:col>21</xdr:col>
                <xdr:colOff>9525</xdr:colOff>
                <xdr:row>31</xdr:row>
                <xdr:rowOff>0</xdr:rowOff>
              </from>
              <to>
                <xdr:col>22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8" r:id="rId144" name="Label 160">
          <controlPr defaultSize="0" autoFill="0" autoLine="0" autoPict="0" macro="[0]!Protect_InitialsX2">
            <anchor moveWithCells="1" sizeWithCells="1">
              <from>
                <xdr:col>23</xdr:col>
                <xdr:colOff>9525</xdr:colOff>
                <xdr:row>31</xdr:row>
                <xdr:rowOff>0</xdr:rowOff>
              </from>
              <to>
                <xdr:col>24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9" r:id="rId145" name="Label 161">
          <controlPr defaultSize="0" autoFill="0" autoLine="0" autoPict="0" macro="[0]!Protect_InitialsY2">
            <anchor moveWithCells="1" sizeWithCells="1">
              <from>
                <xdr:col>24</xdr:col>
                <xdr:colOff>9525</xdr:colOff>
                <xdr:row>31</xdr:row>
                <xdr:rowOff>0</xdr:rowOff>
              </from>
              <to>
                <xdr:col>25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6" r:id="rId146" name="Label 228">
          <controlPr defaultSize="0" autoFill="0" autoLine="0" autoPict="0" macro="[0]!Protect_InitialsB3">
            <anchor moveWithCells="1">
              <from>
                <xdr:col>1</xdr:col>
                <xdr:colOff>19050</xdr:colOff>
                <xdr:row>32</xdr:row>
                <xdr:rowOff>0</xdr:rowOff>
              </from>
              <to>
                <xdr:col>2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7" r:id="rId147" name="Label 229">
          <controlPr defaultSize="0" autoFill="0" autoLine="0" autoPict="0" macro="[0]!Protect_InitialsC3">
            <anchor moveWithCells="1">
              <from>
                <xdr:col>2</xdr:col>
                <xdr:colOff>19050</xdr:colOff>
                <xdr:row>32</xdr:row>
                <xdr:rowOff>0</xdr:rowOff>
              </from>
              <to>
                <xdr:col>3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9" r:id="rId148" name="Label 231">
          <controlPr defaultSize="0" autoFill="0" autoLine="0" autoPict="0" macro="[0]!Protect_InitialsD3">
            <anchor moveWithCells="1">
              <from>
                <xdr:col>3</xdr:col>
                <xdr:colOff>19050</xdr:colOff>
                <xdr:row>32</xdr:row>
                <xdr:rowOff>0</xdr:rowOff>
              </from>
              <to>
                <xdr:col>4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0" r:id="rId149" name="Label 232">
          <controlPr defaultSize="0" autoFill="0" autoLine="0" autoPict="0" macro="[0]!Protect_InitialsE3">
            <anchor moveWithCells="1">
              <from>
                <xdr:col>4</xdr:col>
                <xdr:colOff>19050</xdr:colOff>
                <xdr:row>32</xdr:row>
                <xdr:rowOff>0</xdr:rowOff>
              </from>
              <to>
                <xdr:col>5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1" r:id="rId150" name="Label 233">
          <controlPr defaultSize="0" autoFill="0" autoLine="0" autoPict="0" macro="[0]!Protect_InitialsF3">
            <anchor moveWithCells="1">
              <from>
                <xdr:col>5</xdr:col>
                <xdr:colOff>19050</xdr:colOff>
                <xdr:row>32</xdr:row>
                <xdr:rowOff>0</xdr:rowOff>
              </from>
              <to>
                <xdr:col>6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2" r:id="rId151" name="Label 234">
          <controlPr defaultSize="0" autoFill="0" autoLine="0" autoPict="0" macro="[0]!Protect_InitialsG3">
            <anchor moveWithCells="1">
              <from>
                <xdr:col>6</xdr:col>
                <xdr:colOff>19050</xdr:colOff>
                <xdr:row>32</xdr:row>
                <xdr:rowOff>0</xdr:rowOff>
              </from>
              <to>
                <xdr:col>7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3" r:id="rId152" name="Label 235">
          <controlPr defaultSize="0" autoFill="0" autoLine="0" autoPict="0" macro="[0]!Protect_InitialsH3">
            <anchor moveWithCells="1">
              <from>
                <xdr:col>7</xdr:col>
                <xdr:colOff>19050</xdr:colOff>
                <xdr:row>32</xdr:row>
                <xdr:rowOff>0</xdr:rowOff>
              </from>
              <to>
                <xdr:col>8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4" r:id="rId153" name="Label 236">
          <controlPr defaultSize="0" autoFill="0" autoLine="0" autoPict="0" macro="[0]!Protect_InitialsI3">
            <anchor moveWithCells="1">
              <from>
                <xdr:col>8</xdr:col>
                <xdr:colOff>19050</xdr:colOff>
                <xdr:row>32</xdr:row>
                <xdr:rowOff>0</xdr:rowOff>
              </from>
              <to>
                <xdr:col>9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5" r:id="rId154" name="Label 237">
          <controlPr defaultSize="0" autoFill="0" autoLine="0" autoPict="0" macro="[0]!Protect_InitialsJ3">
            <anchor moveWithCells="1">
              <from>
                <xdr:col>9</xdr:col>
                <xdr:colOff>19050</xdr:colOff>
                <xdr:row>32</xdr:row>
                <xdr:rowOff>0</xdr:rowOff>
              </from>
              <to>
                <xdr:col>10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6" r:id="rId155" name="Label 238">
          <controlPr defaultSize="0" autoFill="0" autoLine="0" autoPict="0" macro="[0]!Protect_InitialsK3">
            <anchor moveWithCells="1">
              <from>
                <xdr:col>10</xdr:col>
                <xdr:colOff>19050</xdr:colOff>
                <xdr:row>32</xdr:row>
                <xdr:rowOff>0</xdr:rowOff>
              </from>
              <to>
                <xdr:col>11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7" r:id="rId156" name="Label 239">
          <controlPr defaultSize="0" autoFill="0" autoLine="0" autoPict="0" macro="[0]!Protect_InitialsL3">
            <anchor moveWithCells="1">
              <from>
                <xdr:col>11</xdr:col>
                <xdr:colOff>19050</xdr:colOff>
                <xdr:row>32</xdr:row>
                <xdr:rowOff>0</xdr:rowOff>
              </from>
              <to>
                <xdr:col>12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9" r:id="rId157" name="Label 241">
          <controlPr defaultSize="0" autoFill="0" autoLine="0" autoPict="0" macro="[0]!Protect_InitialsM3">
            <anchor moveWithCells="1">
              <from>
                <xdr:col>12</xdr:col>
                <xdr:colOff>19050</xdr:colOff>
                <xdr:row>32</xdr:row>
                <xdr:rowOff>0</xdr:rowOff>
              </from>
              <to>
                <xdr:col>13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" r:id="rId158" name="Label 242">
          <controlPr defaultSize="0" autoFill="0" autoLine="0" autoPict="0" macro="[0]!Protect_InitialsN3">
            <anchor moveWithCells="1">
              <from>
                <xdr:col>13</xdr:col>
                <xdr:colOff>19050</xdr:colOff>
                <xdr:row>32</xdr:row>
                <xdr:rowOff>0</xdr:rowOff>
              </from>
              <to>
                <xdr:col>14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1" r:id="rId159" name="Label 243">
          <controlPr defaultSize="0" autoFill="0" autoLine="0" autoPict="0" macro="[0]!Protect_InitialsO3">
            <anchor moveWithCells="1">
              <from>
                <xdr:col>14</xdr:col>
                <xdr:colOff>19050</xdr:colOff>
                <xdr:row>32</xdr:row>
                <xdr:rowOff>0</xdr:rowOff>
              </from>
              <to>
                <xdr:col>15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3" r:id="rId160" name="Label 245">
          <controlPr defaultSize="0" autoFill="0" autoLine="0" autoPict="0" macro="[0]!Protect_InitialsP3">
            <anchor moveWithCells="1">
              <from>
                <xdr:col>15</xdr:col>
                <xdr:colOff>19050</xdr:colOff>
                <xdr:row>32</xdr:row>
                <xdr:rowOff>0</xdr:rowOff>
              </from>
              <to>
                <xdr:col>16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5" r:id="rId161" name="Label 247">
          <controlPr defaultSize="0" autoFill="0" autoLine="0" autoPict="0" macro="[0]!Protect_InitialsQ3">
            <anchor moveWithCells="1">
              <from>
                <xdr:col>16</xdr:col>
                <xdr:colOff>19050</xdr:colOff>
                <xdr:row>32</xdr:row>
                <xdr:rowOff>0</xdr:rowOff>
              </from>
              <to>
                <xdr:col>17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6" r:id="rId162" name="Label 248">
          <controlPr defaultSize="0" autoFill="0" autoLine="0" autoPict="0" macro="[0]!Protect_InitialsR3">
            <anchor moveWithCells="1">
              <from>
                <xdr:col>17</xdr:col>
                <xdr:colOff>19050</xdr:colOff>
                <xdr:row>32</xdr:row>
                <xdr:rowOff>0</xdr:rowOff>
              </from>
              <to>
                <xdr:col>18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7" r:id="rId163" name="Label 249">
          <controlPr defaultSize="0" autoFill="0" autoLine="0" autoPict="0" macro="[0]!Protect_InitialsS3">
            <anchor moveWithCells="1">
              <from>
                <xdr:col>18</xdr:col>
                <xdr:colOff>19050</xdr:colOff>
                <xdr:row>32</xdr:row>
                <xdr:rowOff>0</xdr:rowOff>
              </from>
              <to>
                <xdr:col>19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8" r:id="rId164" name="Label 250">
          <controlPr defaultSize="0" autoFill="0" autoLine="0" autoPict="0" macro="[0]!Protect_InitialsT3">
            <anchor moveWithCells="1">
              <from>
                <xdr:col>19</xdr:col>
                <xdr:colOff>19050</xdr:colOff>
                <xdr:row>32</xdr:row>
                <xdr:rowOff>0</xdr:rowOff>
              </from>
              <to>
                <xdr:col>20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9" r:id="rId165" name="Label 251">
          <controlPr defaultSize="0" autoFill="0" autoLine="0" autoPict="0" macro="[0]!Protect_InitialsU3">
            <anchor moveWithCells="1">
              <from>
                <xdr:col>20</xdr:col>
                <xdr:colOff>19050</xdr:colOff>
                <xdr:row>32</xdr:row>
                <xdr:rowOff>0</xdr:rowOff>
              </from>
              <to>
                <xdr:col>21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0" r:id="rId166" name="Label 252">
          <controlPr defaultSize="0" autoFill="0" autoLine="0" autoPict="0" macro="[0]!Protect_InitialsV3">
            <anchor moveWithCells="1">
              <from>
                <xdr:col>21</xdr:col>
                <xdr:colOff>19050</xdr:colOff>
                <xdr:row>32</xdr:row>
                <xdr:rowOff>0</xdr:rowOff>
              </from>
              <to>
                <xdr:col>22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1" r:id="rId167" name="Label 253">
          <controlPr defaultSize="0" autoFill="0" autoLine="0" autoPict="0" macro="[0]!Protect_InitialsW3">
            <anchor moveWithCells="1">
              <from>
                <xdr:col>22</xdr:col>
                <xdr:colOff>19050</xdr:colOff>
                <xdr:row>32</xdr:row>
                <xdr:rowOff>0</xdr:rowOff>
              </from>
              <to>
                <xdr:col>23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2" r:id="rId168" name="Label 254">
          <controlPr defaultSize="0" autoFill="0" autoLine="0" autoPict="0" macro="[0]!Protect_InitialsX3">
            <anchor moveWithCells="1">
              <from>
                <xdr:col>23</xdr:col>
                <xdr:colOff>19050</xdr:colOff>
                <xdr:row>32</xdr:row>
                <xdr:rowOff>0</xdr:rowOff>
              </from>
              <to>
                <xdr:col>24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3" r:id="rId169" name="Label 255">
          <controlPr defaultSize="0" autoFill="0" autoLine="0" autoPict="0" macro="[0]!Protect_InitialsY3">
            <anchor moveWithCells="1">
              <from>
                <xdr:col>24</xdr:col>
                <xdr:colOff>19050</xdr:colOff>
                <xdr:row>32</xdr:row>
                <xdr:rowOff>0</xdr:rowOff>
              </from>
              <to>
                <xdr:col>25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" r:id="rId170" name="Label 256">
          <controlPr defaultSize="0" autoFill="0" autoLine="0" autoPict="0" macro="[0]!Protect_InitialsZ3">
            <anchor moveWithCells="1">
              <from>
                <xdr:col>25</xdr:col>
                <xdr:colOff>19050</xdr:colOff>
                <xdr:row>32</xdr:row>
                <xdr:rowOff>0</xdr:rowOff>
              </from>
              <to>
                <xdr:col>26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5" r:id="rId171" name="Label 257">
          <controlPr defaultSize="0" autoFill="0" autoLine="0" autoPict="0" macro="[0]!Protect_InitialsAA3">
            <anchor moveWithCells="1">
              <from>
                <xdr:col>26</xdr:col>
                <xdr:colOff>19050</xdr:colOff>
                <xdr:row>32</xdr:row>
                <xdr:rowOff>0</xdr:rowOff>
              </from>
              <to>
                <xdr:col>27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6" r:id="rId172" name="Label 258">
          <controlPr defaultSize="0" autoFill="0" autoLine="0" autoPict="0" macro="[0]!Protect_InitialsAB3">
            <anchor moveWithCells="1">
              <from>
                <xdr:col>27</xdr:col>
                <xdr:colOff>19050</xdr:colOff>
                <xdr:row>32</xdr:row>
                <xdr:rowOff>0</xdr:rowOff>
              </from>
              <to>
                <xdr:col>28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7" r:id="rId173" name="Label 259">
          <controlPr defaultSize="0" autoFill="0" autoLine="0" autoPict="0" macro="[0]!Protect_InitialsAC3">
            <anchor moveWithCells="1">
              <from>
                <xdr:col>28</xdr:col>
                <xdr:colOff>19050</xdr:colOff>
                <xdr:row>32</xdr:row>
                <xdr:rowOff>0</xdr:rowOff>
              </from>
              <to>
                <xdr:col>29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8" r:id="rId174" name="Label 260">
          <controlPr defaultSize="0" autoFill="0" autoLine="0" autoPict="0" macro="[0]!Protect_InitialsAD3">
            <anchor moveWithCells="1">
              <from>
                <xdr:col>29</xdr:col>
                <xdr:colOff>19050</xdr:colOff>
                <xdr:row>32</xdr:row>
                <xdr:rowOff>0</xdr:rowOff>
              </from>
              <to>
                <xdr:col>30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9" r:id="rId175" name="Label 261">
          <controlPr defaultSize="0" autoFill="0" autoLine="0" autoPict="0" macro="[0]!Protect_InitialsAE3">
            <anchor moveWithCells="1">
              <from>
                <xdr:col>30</xdr:col>
                <xdr:colOff>19050</xdr:colOff>
                <xdr:row>32</xdr:row>
                <xdr:rowOff>0</xdr:rowOff>
              </from>
              <to>
                <xdr:col>31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0" r:id="rId176" name="Label 262">
          <controlPr defaultSize="0" autoFill="0" autoLine="0" autoPict="0" macro="[0]!Protect_InitialsAF3">
            <anchor moveWithCells="1">
              <from>
                <xdr:col>31</xdr:col>
                <xdr:colOff>19050</xdr:colOff>
                <xdr:row>32</xdr:row>
                <xdr:rowOff>0</xdr:rowOff>
              </from>
              <to>
                <xdr:col>32</xdr:col>
                <xdr:colOff>19050</xdr:colOff>
                <xdr:row>32</xdr:row>
                <xdr:rowOff>295275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441</vt:i4>
      </vt:variant>
    </vt:vector>
  </HeadingPairs>
  <TitlesOfParts>
    <vt:vector size="443" baseType="lpstr">
      <vt:lpstr>Commands</vt:lpstr>
      <vt:lpstr>Sheet1</vt:lpstr>
      <vt:lpstr>Column2StartAA</vt:lpstr>
      <vt:lpstr>Column2StartAB</vt:lpstr>
      <vt:lpstr>Column2StartAC</vt:lpstr>
      <vt:lpstr>Column2StartAD</vt:lpstr>
      <vt:lpstr>Column2StartAE</vt:lpstr>
      <vt:lpstr>Column2StartAF</vt:lpstr>
      <vt:lpstr>Column2StartB</vt:lpstr>
      <vt:lpstr>Column2StartC</vt:lpstr>
      <vt:lpstr>Column2StartD</vt:lpstr>
      <vt:lpstr>Column2StartE</vt:lpstr>
      <vt:lpstr>Column2StartF</vt:lpstr>
      <vt:lpstr>Column2StartG</vt:lpstr>
      <vt:lpstr>Column2StartH</vt:lpstr>
      <vt:lpstr>Column2StartI</vt:lpstr>
      <vt:lpstr>Column2StartJ</vt:lpstr>
      <vt:lpstr>Column2StartK</vt:lpstr>
      <vt:lpstr>Column2StartL</vt:lpstr>
      <vt:lpstr>Column2StartM</vt:lpstr>
      <vt:lpstr>Column2StartN</vt:lpstr>
      <vt:lpstr>Column2StartO</vt:lpstr>
      <vt:lpstr>Column2StartP</vt:lpstr>
      <vt:lpstr>Column2StartQ</vt:lpstr>
      <vt:lpstr>Column2StartR</vt:lpstr>
      <vt:lpstr>Column2StartS</vt:lpstr>
      <vt:lpstr>Column2StartT</vt:lpstr>
      <vt:lpstr>Column2StartU</vt:lpstr>
      <vt:lpstr>Column2StartV</vt:lpstr>
      <vt:lpstr>Column2StartW</vt:lpstr>
      <vt:lpstr>Column2StartX</vt:lpstr>
      <vt:lpstr>Column2StartY</vt:lpstr>
      <vt:lpstr>Column2StartZ</vt:lpstr>
      <vt:lpstr>Column3EndAA</vt:lpstr>
      <vt:lpstr>Column3EndAB</vt:lpstr>
      <vt:lpstr>Column3EndAC</vt:lpstr>
      <vt:lpstr>Column3EndAD</vt:lpstr>
      <vt:lpstr>Column3EndAE</vt:lpstr>
      <vt:lpstr>Column3EndAF</vt:lpstr>
      <vt:lpstr>Column3EndB</vt:lpstr>
      <vt:lpstr>Column3EndC</vt:lpstr>
      <vt:lpstr>Column3EndD</vt:lpstr>
      <vt:lpstr>Column3EndE</vt:lpstr>
      <vt:lpstr>Column3EndF</vt:lpstr>
      <vt:lpstr>Column3EndG</vt:lpstr>
      <vt:lpstr>Column3EndH</vt:lpstr>
      <vt:lpstr>Column3EndI</vt:lpstr>
      <vt:lpstr>Column3EndJ</vt:lpstr>
      <vt:lpstr>Column3EndK</vt:lpstr>
      <vt:lpstr>Column3EndL</vt:lpstr>
      <vt:lpstr>Column3EndM</vt:lpstr>
      <vt:lpstr>Column3EndN</vt:lpstr>
      <vt:lpstr>Column3EndO</vt:lpstr>
      <vt:lpstr>Column3EndP</vt:lpstr>
      <vt:lpstr>Column3EndQ</vt:lpstr>
      <vt:lpstr>Column3EndR</vt:lpstr>
      <vt:lpstr>Column3EndS</vt:lpstr>
      <vt:lpstr>Column3EndT</vt:lpstr>
      <vt:lpstr>Column3EndU</vt:lpstr>
      <vt:lpstr>Column3EndV</vt:lpstr>
      <vt:lpstr>Column3EndW</vt:lpstr>
      <vt:lpstr>Column3EndX</vt:lpstr>
      <vt:lpstr>Column3EndY</vt:lpstr>
      <vt:lpstr>Column3EndZ</vt:lpstr>
      <vt:lpstr>Column3StartAA</vt:lpstr>
      <vt:lpstr>Column3StartAB</vt:lpstr>
      <vt:lpstr>Column3StartAC</vt:lpstr>
      <vt:lpstr>Column3StartAD</vt:lpstr>
      <vt:lpstr>Column3StartAE</vt:lpstr>
      <vt:lpstr>Column3StartAF</vt:lpstr>
      <vt:lpstr>Column3StartB</vt:lpstr>
      <vt:lpstr>Column3StartC</vt:lpstr>
      <vt:lpstr>Column3StartD</vt:lpstr>
      <vt:lpstr>Column3StartE</vt:lpstr>
      <vt:lpstr>Column3StartF</vt:lpstr>
      <vt:lpstr>Column3StartG</vt:lpstr>
      <vt:lpstr>Column3StartH</vt:lpstr>
      <vt:lpstr>Column3StartI</vt:lpstr>
      <vt:lpstr>Column3StartJ</vt:lpstr>
      <vt:lpstr>Column3StartK</vt:lpstr>
      <vt:lpstr>Column3StartL</vt:lpstr>
      <vt:lpstr>Column3StartM</vt:lpstr>
      <vt:lpstr>Column3StartN</vt:lpstr>
      <vt:lpstr>Column3StartO</vt:lpstr>
      <vt:lpstr>Column3StartP</vt:lpstr>
      <vt:lpstr>Column3StartQ</vt:lpstr>
      <vt:lpstr>Column3StartR</vt:lpstr>
      <vt:lpstr>Column3StartS</vt:lpstr>
      <vt:lpstr>Column3StartT</vt:lpstr>
      <vt:lpstr>Column3StartU</vt:lpstr>
      <vt:lpstr>Column3StartV</vt:lpstr>
      <vt:lpstr>Column3StartW</vt:lpstr>
      <vt:lpstr>Column3StartX</vt:lpstr>
      <vt:lpstr>Column3StartY</vt:lpstr>
      <vt:lpstr>Column3StartZ</vt:lpstr>
      <vt:lpstr>Column4EndAA</vt:lpstr>
      <vt:lpstr>Column4EndAB</vt:lpstr>
      <vt:lpstr>Column4EndAC</vt:lpstr>
      <vt:lpstr>Column4EndAD</vt:lpstr>
      <vt:lpstr>Column4EndAE</vt:lpstr>
      <vt:lpstr>Column4EndAF</vt:lpstr>
      <vt:lpstr>Column4EndB</vt:lpstr>
      <vt:lpstr>Column4EndC</vt:lpstr>
      <vt:lpstr>Column4EndD</vt:lpstr>
      <vt:lpstr>Column4EndE</vt:lpstr>
      <vt:lpstr>Column4EndF</vt:lpstr>
      <vt:lpstr>Column4EndG</vt:lpstr>
      <vt:lpstr>Column4EndH</vt:lpstr>
      <vt:lpstr>Column4EndI</vt:lpstr>
      <vt:lpstr>Column4EndJ</vt:lpstr>
      <vt:lpstr>Column4EndK</vt:lpstr>
      <vt:lpstr>Column4EndL</vt:lpstr>
      <vt:lpstr>Column4EndM</vt:lpstr>
      <vt:lpstr>Column4EndN</vt:lpstr>
      <vt:lpstr>Column4EndO</vt:lpstr>
      <vt:lpstr>Column4EndP</vt:lpstr>
      <vt:lpstr>Column4EndQ</vt:lpstr>
      <vt:lpstr>Column4EndR</vt:lpstr>
      <vt:lpstr>Column4EndS</vt:lpstr>
      <vt:lpstr>Column4EndT</vt:lpstr>
      <vt:lpstr>Column4EndU</vt:lpstr>
      <vt:lpstr>Column4EndV</vt:lpstr>
      <vt:lpstr>Column4EndW</vt:lpstr>
      <vt:lpstr>Column4EndX</vt:lpstr>
      <vt:lpstr>Column4EndY</vt:lpstr>
      <vt:lpstr>Column4EndZ</vt:lpstr>
      <vt:lpstr>ColumnEndAA</vt:lpstr>
      <vt:lpstr>ColumnEndAB</vt:lpstr>
      <vt:lpstr>ColumnEndAC</vt:lpstr>
      <vt:lpstr>ColumnEndAD</vt:lpstr>
      <vt:lpstr>ColumnEndAE</vt:lpstr>
      <vt:lpstr>ColumnEndAF</vt:lpstr>
      <vt:lpstr>ColumnEndB</vt:lpstr>
      <vt:lpstr>ColumnEndC</vt:lpstr>
      <vt:lpstr>ColumnEndD</vt:lpstr>
      <vt:lpstr>ColumnEndE</vt:lpstr>
      <vt:lpstr>ColumnEndF</vt:lpstr>
      <vt:lpstr>ColumnEndG</vt:lpstr>
      <vt:lpstr>ColumnEndH</vt:lpstr>
      <vt:lpstr>ColumnEndI</vt:lpstr>
      <vt:lpstr>ColumnEndJ</vt:lpstr>
      <vt:lpstr>ColumnEndK</vt:lpstr>
      <vt:lpstr>ColumnEndL</vt:lpstr>
      <vt:lpstr>ColumnEndM</vt:lpstr>
      <vt:lpstr>ColumnEndN</vt:lpstr>
      <vt:lpstr>ColumnEndO</vt:lpstr>
      <vt:lpstr>ColumnEndP</vt:lpstr>
      <vt:lpstr>ColumnEndQ</vt:lpstr>
      <vt:lpstr>ColumnEndR</vt:lpstr>
      <vt:lpstr>ColumnEndS</vt:lpstr>
      <vt:lpstr>ColumnEndT</vt:lpstr>
      <vt:lpstr>ColumnEndU</vt:lpstr>
      <vt:lpstr>ColumnEndV</vt:lpstr>
      <vt:lpstr>ColumnEndW</vt:lpstr>
      <vt:lpstr>ColumnEndX</vt:lpstr>
      <vt:lpstr>ColumnEndY</vt:lpstr>
      <vt:lpstr>ColumnEndZ</vt:lpstr>
      <vt:lpstr>ColumnStartAA</vt:lpstr>
      <vt:lpstr>ColumnStartAB</vt:lpstr>
      <vt:lpstr>ColumnStartAC</vt:lpstr>
      <vt:lpstr>ColumnStartAD</vt:lpstr>
      <vt:lpstr>ColumnStartAE</vt:lpstr>
      <vt:lpstr>ColumnStartAF</vt:lpstr>
      <vt:lpstr>ColumnStartB</vt:lpstr>
      <vt:lpstr>ColumnStartC</vt:lpstr>
      <vt:lpstr>ColumnStartD</vt:lpstr>
      <vt:lpstr>ColumnStartE</vt:lpstr>
      <vt:lpstr>ColumnStartF</vt:lpstr>
      <vt:lpstr>ColumnStartG</vt:lpstr>
      <vt:lpstr>ColumnStartH</vt:lpstr>
      <vt:lpstr>ColumnStartI</vt:lpstr>
      <vt:lpstr>ColumnStartJ</vt:lpstr>
      <vt:lpstr>ColumnStartK</vt:lpstr>
      <vt:lpstr>ColumnStartL</vt:lpstr>
      <vt:lpstr>ColumnStartM</vt:lpstr>
      <vt:lpstr>ColumnStartN</vt:lpstr>
      <vt:lpstr>ColumnStartO</vt:lpstr>
      <vt:lpstr>ColumnStartP</vt:lpstr>
      <vt:lpstr>ColumnStartQ</vt:lpstr>
      <vt:lpstr>ColumnStartR</vt:lpstr>
      <vt:lpstr>ColumnStartS</vt:lpstr>
      <vt:lpstr>ColumnStartT</vt:lpstr>
      <vt:lpstr>ColumnStartU</vt:lpstr>
      <vt:lpstr>ColumnStartV</vt:lpstr>
      <vt:lpstr>ColumnStartW</vt:lpstr>
      <vt:lpstr>ColumnStartX</vt:lpstr>
      <vt:lpstr>ColumnStartY</vt:lpstr>
      <vt:lpstr>ColumnStartZ</vt:lpstr>
      <vt:lpstr>CurrentMonthVisits</vt:lpstr>
      <vt:lpstr>Initials1</vt:lpstr>
      <vt:lpstr>Initials10</vt:lpstr>
      <vt:lpstr>Initials11</vt:lpstr>
      <vt:lpstr>Initials12</vt:lpstr>
      <vt:lpstr>Initials13</vt:lpstr>
      <vt:lpstr>Initials14</vt:lpstr>
      <vt:lpstr>Initials15</vt:lpstr>
      <vt:lpstr>Initials16</vt:lpstr>
      <vt:lpstr>Initials2</vt:lpstr>
      <vt:lpstr>Initials3</vt:lpstr>
      <vt:lpstr>Initials4</vt:lpstr>
      <vt:lpstr>Initials5</vt:lpstr>
      <vt:lpstr>Initials6</vt:lpstr>
      <vt:lpstr>Initials7</vt:lpstr>
      <vt:lpstr>Initials8</vt:lpstr>
      <vt:lpstr>Initials9</vt:lpstr>
      <vt:lpstr>InitialsAA1</vt:lpstr>
      <vt:lpstr>InitialsAA2</vt:lpstr>
      <vt:lpstr>InitialsAA3</vt:lpstr>
      <vt:lpstr>InitialsAB1</vt:lpstr>
      <vt:lpstr>InitialsAB2</vt:lpstr>
      <vt:lpstr>InitialsAB3</vt:lpstr>
      <vt:lpstr>InitialsAC1</vt:lpstr>
      <vt:lpstr>InitialsAC2</vt:lpstr>
      <vt:lpstr>InitialsAC3</vt:lpstr>
      <vt:lpstr>InitialsAD1</vt:lpstr>
      <vt:lpstr>InitialsAD2</vt:lpstr>
      <vt:lpstr>InitialsAD3</vt:lpstr>
      <vt:lpstr>InitialsAE1</vt:lpstr>
      <vt:lpstr>InitialsAE2</vt:lpstr>
      <vt:lpstr>InitialsAE3</vt:lpstr>
      <vt:lpstr>InitialsAF1</vt:lpstr>
      <vt:lpstr>InitialsAF2</vt:lpstr>
      <vt:lpstr>InitialsAF3</vt:lpstr>
      <vt:lpstr>InitialsB1</vt:lpstr>
      <vt:lpstr>InitialsB2</vt:lpstr>
      <vt:lpstr>InitialsB3</vt:lpstr>
      <vt:lpstr>InitialsC1</vt:lpstr>
      <vt:lpstr>InitialsC2</vt:lpstr>
      <vt:lpstr>InitialsC3</vt:lpstr>
      <vt:lpstr>InitialsCounter1</vt:lpstr>
      <vt:lpstr>InitialsCounter10</vt:lpstr>
      <vt:lpstr>InitialsCounter11</vt:lpstr>
      <vt:lpstr>InitialsCounter12</vt:lpstr>
      <vt:lpstr>InitialsCounter13</vt:lpstr>
      <vt:lpstr>InitialsCounter14</vt:lpstr>
      <vt:lpstr>InitialsCounter15</vt:lpstr>
      <vt:lpstr>InitialsCounter16</vt:lpstr>
      <vt:lpstr>InitialsCounter2</vt:lpstr>
      <vt:lpstr>InitialsCounter3</vt:lpstr>
      <vt:lpstr>InitialsCounter4</vt:lpstr>
      <vt:lpstr>InitialsCounter5</vt:lpstr>
      <vt:lpstr>InitialsCounter6</vt:lpstr>
      <vt:lpstr>InitialsCounter7</vt:lpstr>
      <vt:lpstr>InitialsCounter8</vt:lpstr>
      <vt:lpstr>InitialsCounter9</vt:lpstr>
      <vt:lpstr>InitialsD1</vt:lpstr>
      <vt:lpstr>InitialsD2</vt:lpstr>
      <vt:lpstr>InitialsD3</vt:lpstr>
      <vt:lpstr>InitialsE1</vt:lpstr>
      <vt:lpstr>InitialsE2</vt:lpstr>
      <vt:lpstr>InitialsE3</vt:lpstr>
      <vt:lpstr>InitialsF1</vt:lpstr>
      <vt:lpstr>InitialsF2</vt:lpstr>
      <vt:lpstr>InitialsF3</vt:lpstr>
      <vt:lpstr>InitialsG1</vt:lpstr>
      <vt:lpstr>InitialsG2</vt:lpstr>
      <vt:lpstr>InitialsG3</vt:lpstr>
      <vt:lpstr>InitialsH1</vt:lpstr>
      <vt:lpstr>InitialsH2</vt:lpstr>
      <vt:lpstr>InitialsH3</vt:lpstr>
      <vt:lpstr>InitialsI1</vt:lpstr>
      <vt:lpstr>InitialsI2</vt:lpstr>
      <vt:lpstr>InitialsI3</vt:lpstr>
      <vt:lpstr>InitialsJ1</vt:lpstr>
      <vt:lpstr>InitialsJ2</vt:lpstr>
      <vt:lpstr>InitialsJ3</vt:lpstr>
      <vt:lpstr>InitialsK1</vt:lpstr>
      <vt:lpstr>InitialsK2</vt:lpstr>
      <vt:lpstr>InitialsK3</vt:lpstr>
      <vt:lpstr>InitialsL1</vt:lpstr>
      <vt:lpstr>InitialsL2</vt:lpstr>
      <vt:lpstr>InitialsL3</vt:lpstr>
      <vt:lpstr>InitialsM1</vt:lpstr>
      <vt:lpstr>InitialsM2</vt:lpstr>
      <vt:lpstr>InitialsM3</vt:lpstr>
      <vt:lpstr>InitialsN1</vt:lpstr>
      <vt:lpstr>InitialsN2</vt:lpstr>
      <vt:lpstr>InitialsN3</vt:lpstr>
      <vt:lpstr>InitialsO1</vt:lpstr>
      <vt:lpstr>InitialsO2</vt:lpstr>
      <vt:lpstr>InitialsO3</vt:lpstr>
      <vt:lpstr>InitialsP1</vt:lpstr>
      <vt:lpstr>InitialsP2</vt:lpstr>
      <vt:lpstr>InitialsP3</vt:lpstr>
      <vt:lpstr>InitialsQ1</vt:lpstr>
      <vt:lpstr>InitialsQ2</vt:lpstr>
      <vt:lpstr>InitialsQ3</vt:lpstr>
      <vt:lpstr>InitialsR1</vt:lpstr>
      <vt:lpstr>InitialsR2</vt:lpstr>
      <vt:lpstr>InitialsR3</vt:lpstr>
      <vt:lpstr>InitialsS1</vt:lpstr>
      <vt:lpstr>InitialsS2</vt:lpstr>
      <vt:lpstr>InitialsS3</vt:lpstr>
      <vt:lpstr>InitialsT1</vt:lpstr>
      <vt:lpstr>InitialsT2</vt:lpstr>
      <vt:lpstr>InitialsT3</vt:lpstr>
      <vt:lpstr>InitialsU1</vt:lpstr>
      <vt:lpstr>InitialsU2</vt:lpstr>
      <vt:lpstr>InitialsU3</vt:lpstr>
      <vt:lpstr>InitialsV1</vt:lpstr>
      <vt:lpstr>InitialsV2</vt:lpstr>
      <vt:lpstr>InitialsV3</vt:lpstr>
      <vt:lpstr>InitialsW1</vt:lpstr>
      <vt:lpstr>InitialsW2</vt:lpstr>
      <vt:lpstr>InitialsW3</vt:lpstr>
      <vt:lpstr>InitialsX1</vt:lpstr>
      <vt:lpstr>InitialsX2</vt:lpstr>
      <vt:lpstr>InitialsX3</vt:lpstr>
      <vt:lpstr>InitialsY1</vt:lpstr>
      <vt:lpstr>InitialsY2</vt:lpstr>
      <vt:lpstr>InitialsY3</vt:lpstr>
      <vt:lpstr>InitialsZ1</vt:lpstr>
      <vt:lpstr>InitialsZ2</vt:lpstr>
      <vt:lpstr>InitialsZ3</vt:lpstr>
      <vt:lpstr>MergedAreaTitles</vt:lpstr>
      <vt:lpstr>PreviousMonthVisits</vt:lpstr>
      <vt:lpstr>TherapistName1</vt:lpstr>
      <vt:lpstr>TherapistName10</vt:lpstr>
      <vt:lpstr>TherapistName11</vt:lpstr>
      <vt:lpstr>TherapistName12</vt:lpstr>
      <vt:lpstr>TherapistName13</vt:lpstr>
      <vt:lpstr>TherapistName14</vt:lpstr>
      <vt:lpstr>TherapistName15</vt:lpstr>
      <vt:lpstr>TherapistName16</vt:lpstr>
      <vt:lpstr>TherapistName2</vt:lpstr>
      <vt:lpstr>TherapistName3</vt:lpstr>
      <vt:lpstr>TherapistName4</vt:lpstr>
      <vt:lpstr>TherapistName5</vt:lpstr>
      <vt:lpstr>TherapistName6</vt:lpstr>
      <vt:lpstr>TherapistName7</vt:lpstr>
      <vt:lpstr>TherapistName8</vt:lpstr>
      <vt:lpstr>TherapistName9</vt:lpstr>
      <vt:lpstr>Title1</vt:lpstr>
      <vt:lpstr>Title10</vt:lpstr>
      <vt:lpstr>Title11</vt:lpstr>
      <vt:lpstr>Title12</vt:lpstr>
      <vt:lpstr>Title13</vt:lpstr>
      <vt:lpstr>Title14</vt:lpstr>
      <vt:lpstr>Title15</vt:lpstr>
      <vt:lpstr>Title16</vt:lpstr>
      <vt:lpstr>Title2</vt:lpstr>
      <vt:lpstr>Title3</vt:lpstr>
      <vt:lpstr>Title4</vt:lpstr>
      <vt:lpstr>Title5</vt:lpstr>
      <vt:lpstr>Title6</vt:lpstr>
      <vt:lpstr>Title7</vt:lpstr>
      <vt:lpstr>Title8</vt:lpstr>
      <vt:lpstr>Title9</vt:lpstr>
      <vt:lpstr>TotalMinutes</vt:lpstr>
      <vt:lpstr>TotalTreatmentMinutesAA</vt:lpstr>
      <vt:lpstr>TotalTreatmentMinutesAB</vt:lpstr>
      <vt:lpstr>TotalTreatmentMinutesAC</vt:lpstr>
      <vt:lpstr>TotalTreatmentMinutesAD</vt:lpstr>
      <vt:lpstr>TotalTreatmentMinutesAE</vt:lpstr>
      <vt:lpstr>TotalTreatmentMinutesAF</vt:lpstr>
      <vt:lpstr>TotalTreatmentMinutesB</vt:lpstr>
      <vt:lpstr>TotalTreatmentMinutesC</vt:lpstr>
      <vt:lpstr>TotalTreatmentMinutesD</vt:lpstr>
      <vt:lpstr>TotalTreatmentMinutesE</vt:lpstr>
      <vt:lpstr>TotalTreatmentMinutesF</vt:lpstr>
      <vt:lpstr>TotalTreatmentMinutesG</vt:lpstr>
      <vt:lpstr>TotalTreatmentMinutesH</vt:lpstr>
      <vt:lpstr>TotalTreatmentMinutesI</vt:lpstr>
      <vt:lpstr>TotalTreatmentMinutesJ</vt:lpstr>
      <vt:lpstr>TotalTreatmentMinutesK</vt:lpstr>
      <vt:lpstr>TotalTreatmentMinutesL</vt:lpstr>
      <vt:lpstr>TotalTreatmentMinutesM</vt:lpstr>
      <vt:lpstr>TotalTreatmentMinutesN</vt:lpstr>
      <vt:lpstr>TotalTreatmentMinutesO</vt:lpstr>
      <vt:lpstr>TotalTreatmentMinutesP</vt:lpstr>
      <vt:lpstr>TotalTreatmentMinutesQ</vt:lpstr>
      <vt:lpstr>TotalTreatmentMinutesR</vt:lpstr>
      <vt:lpstr>TotalTreatmentMinutesS</vt:lpstr>
      <vt:lpstr>TotalTreatmentMinutesT</vt:lpstr>
      <vt:lpstr>TotalTreatmentMinutesU</vt:lpstr>
      <vt:lpstr>TotalTreatmentMinutesV</vt:lpstr>
      <vt:lpstr>TotalTreatmentMinutesV\</vt:lpstr>
      <vt:lpstr>TotalTreatmentMinutesW</vt:lpstr>
      <vt:lpstr>TotalTreatmentMinutesX</vt:lpstr>
      <vt:lpstr>TotalTreatmentMinutesY</vt:lpstr>
      <vt:lpstr>TotalTreatmentMinutesZ</vt:lpstr>
      <vt:lpstr>TreatmentFrequency1</vt:lpstr>
      <vt:lpstr>TreatmentFrequency10</vt:lpstr>
      <vt:lpstr>TreatmentFrequency11</vt:lpstr>
      <vt:lpstr>TreatmentFrequency12</vt:lpstr>
      <vt:lpstr>TreatmentFrequency13</vt:lpstr>
      <vt:lpstr>TreatmentFrequency14</vt:lpstr>
      <vt:lpstr>TreatmentFrequency15</vt:lpstr>
      <vt:lpstr>TreatmentFrequency16</vt:lpstr>
      <vt:lpstr>TreatmentFrequency17</vt:lpstr>
      <vt:lpstr>TreatmentFrequency18</vt:lpstr>
      <vt:lpstr>TreatmentFrequency19</vt:lpstr>
      <vt:lpstr>TreatmentFrequency2</vt:lpstr>
      <vt:lpstr>TreatmentFrequency20</vt:lpstr>
      <vt:lpstr>TreatmentFrequency21</vt:lpstr>
      <vt:lpstr>TreatmentFrequency22</vt:lpstr>
      <vt:lpstr>TreatmentFrequency23</vt:lpstr>
      <vt:lpstr>TreatmentFrequency24</vt:lpstr>
      <vt:lpstr>TreatmentFrequency25</vt:lpstr>
      <vt:lpstr>TreatmentFrequency26</vt:lpstr>
      <vt:lpstr>TreatmentFrequency27</vt:lpstr>
      <vt:lpstr>TreatmentFrequency28</vt:lpstr>
      <vt:lpstr>TreatmentFrequency29</vt:lpstr>
      <vt:lpstr>TreatmentFrequency3</vt:lpstr>
      <vt:lpstr>TreatmentFrequency30</vt:lpstr>
      <vt:lpstr>TreatmentFrequency31</vt:lpstr>
      <vt:lpstr>TreatmentFrequency4</vt:lpstr>
      <vt:lpstr>TreatmentFrequency5</vt:lpstr>
      <vt:lpstr>TreatmentFrequency6</vt:lpstr>
      <vt:lpstr>TreatmentFrequency7</vt:lpstr>
      <vt:lpstr>TreatmentFrequency8</vt:lpstr>
      <vt:lpstr>TreatmentFrequency9</vt:lpstr>
      <vt:lpstr>TreatmentMinutesAA</vt:lpstr>
      <vt:lpstr>TreatmentMinutesAB</vt:lpstr>
      <vt:lpstr>TreatmentMinutesAC</vt:lpstr>
      <vt:lpstr>TreatmentMinutesAD</vt:lpstr>
      <vt:lpstr>TreatmentMinutesAE</vt:lpstr>
      <vt:lpstr>TreatmentMinutesAF</vt:lpstr>
      <vt:lpstr>TreatmentMinutesB</vt:lpstr>
      <vt:lpstr>TreatmentMinutesC</vt:lpstr>
      <vt:lpstr>TreatmentMinutesD</vt:lpstr>
      <vt:lpstr>TreatmentMinutesE</vt:lpstr>
      <vt:lpstr>TreatmentMinutesF</vt:lpstr>
      <vt:lpstr>TreatmentMinutesG</vt:lpstr>
      <vt:lpstr>TreatmentMinutesH</vt:lpstr>
      <vt:lpstr>TreatmentMinutesI</vt:lpstr>
      <vt:lpstr>TreatmentMinutesJ</vt:lpstr>
      <vt:lpstr>TreatmentMinutesK</vt:lpstr>
      <vt:lpstr>TreatmentMinutesL</vt:lpstr>
      <vt:lpstr>TreatmentMinutesM</vt:lpstr>
      <vt:lpstr>TreatmentMinutesN</vt:lpstr>
      <vt:lpstr>TreatmentMinutesO</vt:lpstr>
      <vt:lpstr>TreatmentMinutesP</vt:lpstr>
      <vt:lpstr>TreatmentMinutesQ</vt:lpstr>
      <vt:lpstr>TreatmentMinutesR</vt:lpstr>
      <vt:lpstr>TreatmentMinutesS</vt:lpstr>
      <vt:lpstr>TreatmentMinutesT</vt:lpstr>
      <vt:lpstr>TreatmentMinutesU</vt:lpstr>
      <vt:lpstr>TreatmentMinutesV</vt:lpstr>
      <vt:lpstr>TreatmentMinutesW</vt:lpstr>
      <vt:lpstr>TreatmentMinutesX</vt:lpstr>
      <vt:lpstr>TreatmentMinutesY</vt:lpstr>
      <vt:lpstr>TreatmentMinutesZ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entreUser1, C</cp:lastModifiedBy>
  <dcterms:created xsi:type="dcterms:W3CDTF">2006-09-16T00:00:00Z</dcterms:created>
  <dcterms:modified xsi:type="dcterms:W3CDTF">2017-05-23T19:18:45Z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0a48ff2d-4efb-4a21-a051-c0be17483f53</vt:lpwstr>
  </property>
</Properties>
</file>