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65" windowWidth="20655" windowHeight="11310" activeTab="5"/>
  </bookViews>
  <sheets>
    <sheet name="FRONT PAGE" sheetId="5" r:id="rId1"/>
    <sheet name="MCARE A" sheetId="4" r:id="rId2"/>
    <sheet name="MCARE B" sheetId="1" r:id="rId3"/>
    <sheet name="OTHER" sheetId="2" r:id="rId4"/>
    <sheet name="FORMULAS" sheetId="3" r:id="rId5"/>
    <sheet name="Commands" sheetId="6" r:id="rId6"/>
  </sheets>
  <definedNames>
    <definedName name="MonthYear">Commands!$D$23</definedName>
    <definedName name="Occu1">'MCARE A'!#REF!</definedName>
    <definedName name="Occu10">'MCARE A'!#REF!</definedName>
    <definedName name="Occu2">'MCARE A'!#REF!</definedName>
    <definedName name="Occu3">'MCARE A'!#REF!</definedName>
    <definedName name="Occu4">'MCARE A'!#REF!</definedName>
    <definedName name="Occu5">'MCARE A'!#REF!</definedName>
    <definedName name="Occu6">'MCARE A'!#REF!</definedName>
    <definedName name="Occu7">'MCARE A'!#REF!</definedName>
    <definedName name="Occu8">'MCARE A'!#REF!</definedName>
    <definedName name="Occu9">'MCARE A'!#REF!</definedName>
    <definedName name="_xlnm.Print_Area" localSheetId="0">'FRONT PAGE'!$A$1:$G$49</definedName>
    <definedName name="_xlnm.Print_Area" localSheetId="1">'MCARE A'!$A$1:$I$35</definedName>
    <definedName name="_xlnm.Print_Area" localSheetId="2">'MCARE B'!$A:$I</definedName>
    <definedName name="_xlnm.Print_Area" localSheetId="3">OTHER!$A$1:$I$162</definedName>
  </definedNames>
  <calcPr calcId="145621"/>
</workbook>
</file>

<file path=xl/calcChain.xml><?xml version="1.0" encoding="utf-8"?>
<calcChain xmlns="http://schemas.openxmlformats.org/spreadsheetml/2006/main">
  <c r="I26" i="1" l="1"/>
  <c r="I19" i="1"/>
  <c r="I12" i="1"/>
  <c r="I37" i="2"/>
  <c r="G12" i="1"/>
  <c r="G19" i="1"/>
  <c r="G26" i="1"/>
  <c r="G133" i="2"/>
  <c r="G89" i="2"/>
  <c r="G82" i="2"/>
  <c r="G37" i="2"/>
  <c r="G44" i="2"/>
  <c r="I44" i="2" l="1"/>
  <c r="I51" i="2"/>
  <c r="L50" i="3" l="1"/>
  <c r="L51" i="3"/>
  <c r="L52" i="3"/>
  <c r="L53" i="3"/>
  <c r="F53" i="3"/>
  <c r="F52" i="3"/>
  <c r="F51" i="3"/>
  <c r="F50" i="3"/>
  <c r="K53" i="3"/>
  <c r="K52" i="3"/>
  <c r="K51" i="3"/>
  <c r="K50" i="3"/>
  <c r="L46" i="3"/>
  <c r="L47" i="3"/>
  <c r="L48" i="3"/>
  <c r="L49" i="3"/>
  <c r="F49" i="3"/>
  <c r="F48" i="3"/>
  <c r="F47" i="3"/>
  <c r="F46" i="3"/>
  <c r="K49" i="3"/>
  <c r="K48" i="3"/>
  <c r="K47" i="3"/>
  <c r="K46" i="3"/>
  <c r="F45" i="3" l="1"/>
  <c r="F44" i="3"/>
  <c r="F43" i="3"/>
  <c r="F42" i="3"/>
  <c r="F40" i="3"/>
  <c r="F39" i="3"/>
  <c r="F38" i="3"/>
  <c r="F37" i="3"/>
  <c r="F35" i="3"/>
  <c r="F34" i="3"/>
  <c r="F33" i="3"/>
  <c r="F32" i="3"/>
  <c r="F31" i="3"/>
  <c r="F30" i="3"/>
  <c r="F28" i="3"/>
  <c r="F27" i="3"/>
  <c r="F26" i="3"/>
  <c r="F25" i="3"/>
  <c r="F24" i="3"/>
  <c r="F23" i="3"/>
  <c r="F21" i="3"/>
  <c r="F20" i="3"/>
  <c r="F19" i="3"/>
  <c r="F18" i="3"/>
  <c r="F13" i="3"/>
  <c r="F12" i="3"/>
  <c r="F11" i="3"/>
  <c r="L22" i="3"/>
  <c r="F22" i="3"/>
  <c r="F20" i="4" l="1"/>
  <c r="F70" i="2" l="1"/>
  <c r="K20" i="4" l="1"/>
  <c r="K77" i="2" l="1"/>
  <c r="F77" i="2"/>
  <c r="K70" i="2" l="1"/>
  <c r="H17" i="4" l="1"/>
  <c r="K14" i="4" l="1"/>
  <c r="F14" i="4"/>
  <c r="I14" i="4" s="1"/>
  <c r="H133" i="2" l="1"/>
  <c r="I133" i="2"/>
  <c r="G127" i="2"/>
  <c r="I127" i="2" s="1"/>
  <c r="I89" i="2"/>
  <c r="I82" i="2"/>
  <c r="I6" i="2" l="1"/>
  <c r="I5" i="2"/>
  <c r="I6" i="1"/>
  <c r="I5" i="1"/>
  <c r="I4" i="1"/>
  <c r="K25" i="2" l="1"/>
  <c r="F25" i="2"/>
  <c r="K129" i="2" l="1"/>
  <c r="F129" i="2"/>
  <c r="F135" i="2" s="1"/>
  <c r="K98" i="2"/>
  <c r="K116" i="2"/>
  <c r="F123" i="2" l="1"/>
  <c r="F116" i="2" l="1"/>
  <c r="F32" i="2" l="1"/>
  <c r="G32" i="2" l="1"/>
  <c r="I32" i="2" s="1"/>
  <c r="F27" i="4" l="1"/>
  <c r="M1" i="4" l="1"/>
  <c r="F84" i="2" l="1"/>
  <c r="F14" i="1" l="1"/>
  <c r="F39" i="2" l="1"/>
  <c r="I4" i="4" l="1"/>
  <c r="I77" i="2" l="1"/>
  <c r="K32" i="2"/>
  <c r="F91" i="2" l="1"/>
  <c r="K27" i="4" l="1"/>
  <c r="A25" i="1"/>
  <c r="AA2" i="1" l="1"/>
  <c r="AA5" i="1"/>
  <c r="Z2" i="1"/>
  <c r="Z3" i="1"/>
  <c r="Z4" i="1"/>
  <c r="Z5" i="1"/>
  <c r="Z6" i="1"/>
  <c r="Z1" i="1"/>
  <c r="X4" i="1"/>
  <c r="X5" i="1"/>
  <c r="X6" i="1"/>
  <c r="X7" i="1"/>
  <c r="X8" i="1"/>
  <c r="X9" i="1"/>
  <c r="X10" i="1"/>
  <c r="L45" i="3"/>
  <c r="AA6" i="1" s="1"/>
  <c r="L44" i="3"/>
  <c r="K45" i="3"/>
  <c r="K44" i="3"/>
  <c r="L39" i="3"/>
  <c r="Y10" i="1" s="1"/>
  <c r="K39" i="3"/>
  <c r="F25" i="1" l="1"/>
  <c r="F28" i="1" s="1"/>
  <c r="G123" i="2" l="1"/>
  <c r="I123" i="2" s="1"/>
  <c r="K123" i="2"/>
  <c r="L43" i="3" l="1"/>
  <c r="AA4" i="1" s="1"/>
  <c r="K43" i="3"/>
  <c r="K21" i="5" l="1"/>
  <c r="K22" i="5"/>
  <c r="V10" i="2"/>
  <c r="T10" i="2"/>
  <c r="V9" i="2"/>
  <c r="T9" i="2"/>
  <c r="V8" i="2"/>
  <c r="T8" i="2"/>
  <c r="X7" i="2"/>
  <c r="V7" i="2"/>
  <c r="T7" i="2"/>
  <c r="V6" i="2"/>
  <c r="T6" i="2"/>
  <c r="X5" i="2"/>
  <c r="V5" i="2"/>
  <c r="T5" i="2"/>
  <c r="V4" i="2"/>
  <c r="T4" i="2"/>
  <c r="X3" i="2"/>
  <c r="V3" i="2"/>
  <c r="T3" i="2"/>
  <c r="Q3" i="2"/>
  <c r="X2" i="2"/>
  <c r="V2" i="2"/>
  <c r="T2" i="2"/>
  <c r="Q2" i="2"/>
  <c r="X1" i="2"/>
  <c r="V1" i="2"/>
  <c r="T1" i="2"/>
  <c r="Q1" i="2"/>
  <c r="V10" i="1"/>
  <c r="T10" i="1"/>
  <c r="V9" i="1"/>
  <c r="T9" i="1"/>
  <c r="V8" i="1"/>
  <c r="T8" i="1"/>
  <c r="V7" i="1"/>
  <c r="T7" i="1"/>
  <c r="V6" i="1"/>
  <c r="T6" i="1"/>
  <c r="V5" i="1"/>
  <c r="T5" i="1"/>
  <c r="V4" i="1"/>
  <c r="T4" i="1"/>
  <c r="X3" i="1"/>
  <c r="V3" i="1"/>
  <c r="T3" i="1"/>
  <c r="Q3" i="1"/>
  <c r="X2" i="1"/>
  <c r="V2" i="1"/>
  <c r="T2" i="1"/>
  <c r="Q2" i="1"/>
  <c r="X1" i="1"/>
  <c r="V1" i="1"/>
  <c r="T1" i="1"/>
  <c r="Q1" i="1"/>
  <c r="Q2" i="4"/>
  <c r="Q1" i="4"/>
  <c r="H7" i="2"/>
  <c r="G7" i="2"/>
  <c r="H6" i="2"/>
  <c r="G6" i="2"/>
  <c r="H5" i="2"/>
  <c r="G5" i="2"/>
  <c r="A1" i="2"/>
  <c r="H6" i="1"/>
  <c r="G6" i="1"/>
  <c r="H5" i="1"/>
  <c r="G5" i="1"/>
  <c r="H4" i="1"/>
  <c r="G4" i="1"/>
  <c r="A1" i="1"/>
  <c r="C35" i="4"/>
  <c r="C39" i="1" s="1"/>
  <c r="A35" i="4"/>
  <c r="A39" i="1" s="1"/>
  <c r="A34" i="4"/>
  <c r="A160" i="2" s="1"/>
  <c r="A33" i="4"/>
  <c r="A159" i="2" s="1"/>
  <c r="A32" i="4"/>
  <c r="A158" i="2" s="1"/>
  <c r="A31" i="4"/>
  <c r="A35" i="1" s="1"/>
  <c r="A30" i="4"/>
  <c r="A34" i="1" s="1"/>
  <c r="A29" i="4"/>
  <c r="A155" i="2" s="1"/>
  <c r="G7" i="4"/>
  <c r="H6" i="4"/>
  <c r="G6" i="4"/>
  <c r="H5" i="4"/>
  <c r="G5" i="4"/>
  <c r="H4" i="4"/>
  <c r="G4" i="4"/>
  <c r="A7" i="4"/>
  <c r="A7" i="1" s="1"/>
  <c r="A6" i="4"/>
  <c r="A6" i="1" s="1"/>
  <c r="A5" i="4"/>
  <c r="A6" i="2" s="1"/>
  <c r="A4" i="4"/>
  <c r="A5" i="2" s="1"/>
  <c r="A1" i="4"/>
  <c r="K20" i="5"/>
  <c r="K19" i="5"/>
  <c r="K18" i="5"/>
  <c r="K17" i="5"/>
  <c r="K16" i="5"/>
  <c r="K15" i="5"/>
  <c r="K14" i="5"/>
  <c r="K13" i="5"/>
  <c r="K12" i="5"/>
  <c r="K11" i="5"/>
  <c r="K9" i="5"/>
  <c r="K4" i="5"/>
  <c r="K3" i="5"/>
  <c r="G116" i="2" l="1"/>
  <c r="I116" i="2" s="1"/>
  <c r="O10" i="2" s="1"/>
  <c r="G129" i="2"/>
  <c r="I129" i="2" s="1"/>
  <c r="A156" i="2"/>
  <c r="A157" i="2"/>
  <c r="C161" i="2"/>
  <c r="A33" i="1"/>
  <c r="A5" i="1"/>
  <c r="A36" i="1"/>
  <c r="A37" i="1"/>
  <c r="A38" i="1"/>
  <c r="A4" i="1"/>
  <c r="A8" i="2"/>
  <c r="A7" i="2"/>
  <c r="A161" i="2"/>
  <c r="F151" i="2"/>
  <c r="I148" i="2"/>
  <c r="L151" i="2" s="1"/>
  <c r="F142" i="2"/>
  <c r="F109" i="2"/>
  <c r="F98" i="2"/>
  <c r="F63" i="2"/>
  <c r="F53" i="2"/>
  <c r="F46" i="2"/>
  <c r="A22" i="2"/>
  <c r="F18" i="2"/>
  <c r="G142" i="2"/>
  <c r="G63" i="2"/>
  <c r="G25" i="2"/>
  <c r="I25" i="2" s="1"/>
  <c r="I25" i="1"/>
  <c r="H25" i="1"/>
  <c r="I18" i="1"/>
  <c r="H18" i="1"/>
  <c r="F18" i="1"/>
  <c r="F21" i="1" s="1"/>
  <c r="A18" i="1"/>
  <c r="K3" i="1"/>
  <c r="K8" i="5" s="1"/>
  <c r="K2" i="1"/>
  <c r="K7" i="5" s="1"/>
  <c r="K1" i="1"/>
  <c r="K6" i="5" s="1"/>
  <c r="I24" i="4"/>
  <c r="H24" i="4"/>
  <c r="G24" i="4"/>
  <c r="F24" i="4"/>
  <c r="A24" i="4"/>
  <c r="J14" i="4"/>
  <c r="I17" i="4"/>
  <c r="G17" i="4"/>
  <c r="F17" i="4"/>
  <c r="I20" i="4" s="1"/>
  <c r="I29" i="4" s="1"/>
  <c r="D17" i="4"/>
  <c r="A17" i="4"/>
  <c r="K2" i="4"/>
  <c r="K2" i="5" s="1"/>
  <c r="K1" i="4"/>
  <c r="K1" i="5" s="1"/>
  <c r="L42" i="3"/>
  <c r="AA3" i="1" s="1"/>
  <c r="K42" i="3"/>
  <c r="L41" i="3"/>
  <c r="K41" i="3"/>
  <c r="L40" i="3"/>
  <c r="AA1" i="1" s="1"/>
  <c r="K40" i="3"/>
  <c r="L38" i="3"/>
  <c r="K38" i="3"/>
  <c r="L37" i="3"/>
  <c r="K37" i="3"/>
  <c r="L36" i="3"/>
  <c r="K36" i="3"/>
  <c r="L35" i="3"/>
  <c r="K35" i="3"/>
  <c r="L34" i="3"/>
  <c r="K34" i="3"/>
  <c r="L33" i="3"/>
  <c r="K33" i="3"/>
  <c r="L32" i="3"/>
  <c r="K32" i="3"/>
  <c r="L31" i="3"/>
  <c r="K31" i="3"/>
  <c r="L30" i="3"/>
  <c r="K30" i="3"/>
  <c r="L29" i="3"/>
  <c r="K29" i="3"/>
  <c r="L28" i="3"/>
  <c r="K28" i="3"/>
  <c r="L27" i="3"/>
  <c r="K27" i="3"/>
  <c r="L26" i="3"/>
  <c r="K26" i="3"/>
  <c r="L25" i="3"/>
  <c r="K25" i="3"/>
  <c r="L24" i="3"/>
  <c r="K24" i="3"/>
  <c r="L23" i="3"/>
  <c r="K23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I135" i="2" l="1"/>
  <c r="K135" i="2"/>
  <c r="M2" i="4"/>
  <c r="I27" i="4"/>
  <c r="L29" i="4"/>
  <c r="I6" i="4"/>
  <c r="X10" i="2"/>
  <c r="X9" i="2"/>
  <c r="X8" i="2"/>
  <c r="X6" i="2"/>
  <c r="Y6" i="1"/>
  <c r="Y6" i="2"/>
  <c r="Y10" i="2"/>
  <c r="Y9" i="2"/>
  <c r="Y9" i="1"/>
  <c r="Y8" i="1"/>
  <c r="Y8" i="2"/>
  <c r="Y7" i="2"/>
  <c r="Y7" i="1"/>
  <c r="Y5" i="1"/>
  <c r="Y5" i="2"/>
  <c r="Y4" i="1"/>
  <c r="Y4" i="2"/>
  <c r="Y3" i="1"/>
  <c r="Y3" i="2"/>
  <c r="Y2" i="1"/>
  <c r="Y2" i="2"/>
  <c r="Y1" i="2"/>
  <c r="Y1" i="1"/>
  <c r="W10" i="2"/>
  <c r="W10" i="1"/>
  <c r="W9" i="1"/>
  <c r="W9" i="2"/>
  <c r="W8" i="1"/>
  <c r="W8" i="2"/>
  <c r="W7" i="2"/>
  <c r="W7" i="1"/>
  <c r="W6" i="2"/>
  <c r="W6" i="1"/>
  <c r="W5" i="1"/>
  <c r="W5" i="2"/>
  <c r="W4" i="2"/>
  <c r="W4" i="1"/>
  <c r="W3" i="1"/>
  <c r="W3" i="2"/>
  <c r="W2" i="1"/>
  <c r="W2" i="2"/>
  <c r="W1" i="2"/>
  <c r="W1" i="1"/>
  <c r="U10" i="2"/>
  <c r="U10" i="1"/>
  <c r="U9" i="2"/>
  <c r="U9" i="1"/>
  <c r="U8" i="2"/>
  <c r="U8" i="1"/>
  <c r="U7" i="2"/>
  <c r="U7" i="1"/>
  <c r="U6" i="1"/>
  <c r="U6" i="2"/>
  <c r="U5" i="1"/>
  <c r="U5" i="2"/>
  <c r="U4" i="1"/>
  <c r="U4" i="2"/>
  <c r="U3" i="2"/>
  <c r="U3" i="1"/>
  <c r="U2" i="2"/>
  <c r="U2" i="1"/>
  <c r="U1" i="2"/>
  <c r="U1" i="1"/>
  <c r="A3" i="3"/>
  <c r="I5" i="4"/>
  <c r="I63" i="2"/>
  <c r="G18" i="2"/>
  <c r="I18" i="2" s="1"/>
  <c r="I142" i="2"/>
  <c r="G70" i="2"/>
  <c r="I70" i="2" s="1"/>
  <c r="O6" i="2" s="1"/>
  <c r="G98" i="2"/>
  <c r="I98" i="2" s="1"/>
  <c r="G109" i="2"/>
  <c r="I109" i="2" s="1"/>
  <c r="K142" i="2"/>
  <c r="G51" i="2"/>
  <c r="K53" i="2" s="1"/>
  <c r="K63" i="2"/>
  <c r="I151" i="2"/>
  <c r="K151" i="2"/>
  <c r="G53" i="2"/>
  <c r="I53" i="2" s="1"/>
  <c r="K109" i="2"/>
  <c r="K18" i="2"/>
  <c r="I145" i="2" l="1"/>
  <c r="O12" i="2"/>
  <c r="O11" i="2"/>
  <c r="M3" i="4"/>
  <c r="M4" i="4" s="1"/>
  <c r="M2" i="5"/>
  <c r="G21" i="5" s="1"/>
  <c r="K39" i="2"/>
  <c r="O1" i="2"/>
  <c r="M11" i="5" s="1"/>
  <c r="O2" i="2"/>
  <c r="M12" i="5" s="1"/>
  <c r="M20" i="5"/>
  <c r="O5" i="2"/>
  <c r="M15" i="5" s="1"/>
  <c r="O9" i="2"/>
  <c r="M19" i="5" s="1"/>
  <c r="O13" i="2"/>
  <c r="M23" i="5" s="1"/>
  <c r="M3" i="5" l="1"/>
  <c r="G31" i="5" s="1"/>
  <c r="I84" i="2"/>
  <c r="K84" i="2"/>
  <c r="I28" i="1"/>
  <c r="N3" i="1" s="1"/>
  <c r="I14" i="1"/>
  <c r="N1" i="1" s="1"/>
  <c r="M6" i="5" s="1"/>
  <c r="G12" i="5" s="1"/>
  <c r="I21" i="1"/>
  <c r="N2" i="1" s="1"/>
  <c r="M7" i="5" s="1"/>
  <c r="G22" i="5" s="1"/>
  <c r="I39" i="2"/>
  <c r="K28" i="1"/>
  <c r="K14" i="1"/>
  <c r="K21" i="1"/>
  <c r="M16" i="5"/>
  <c r="G13" i="5"/>
  <c r="K91" i="2"/>
  <c r="I91" i="2"/>
  <c r="O8" i="2" s="1"/>
  <c r="I46" i="2"/>
  <c r="O4" i="2" s="1"/>
  <c r="M14" i="5" s="1"/>
  <c r="K46" i="2"/>
  <c r="I56" i="2" l="1"/>
  <c r="I101" i="2"/>
  <c r="M22" i="5"/>
  <c r="G35" i="5" s="1"/>
  <c r="L98" i="2"/>
  <c r="M18" i="5"/>
  <c r="G25" i="5" s="1"/>
  <c r="M21" i="5"/>
  <c r="G34" i="5" s="1"/>
  <c r="L53" i="2"/>
  <c r="O7" i="2"/>
  <c r="L142" i="2"/>
  <c r="O3" i="2"/>
  <c r="G23" i="5"/>
  <c r="L31" i="1"/>
  <c r="I31" i="1"/>
  <c r="I7" i="1" s="1"/>
  <c r="N5" i="1"/>
  <c r="M8" i="5"/>
  <c r="I154" i="2" l="1"/>
  <c r="I8" i="2" s="1"/>
  <c r="G15" i="5"/>
  <c r="M13" i="5"/>
  <c r="G14" i="5" s="1"/>
  <c r="G33" i="5"/>
  <c r="M17" i="5"/>
  <c r="G24" i="5" s="1"/>
  <c r="G27" i="5" s="1"/>
  <c r="O14" i="2"/>
  <c r="M152" i="2"/>
  <c r="G32" i="5"/>
  <c r="N10" i="5"/>
  <c r="G37" i="5" l="1"/>
  <c r="N24" i="5"/>
  <c r="M1" i="5" l="1"/>
  <c r="I7" i="4"/>
  <c r="G11" i="5" l="1"/>
  <c r="G17" i="5" s="1"/>
  <c r="G42" i="5" s="1"/>
  <c r="I7" i="5" s="1"/>
  <c r="I7" i="2" s="1"/>
  <c r="N5" i="5"/>
  <c r="N26" i="5" s="1"/>
</calcChain>
</file>

<file path=xl/sharedStrings.xml><?xml version="1.0" encoding="utf-8"?>
<sst xmlns="http://schemas.openxmlformats.org/spreadsheetml/2006/main" count="302" uniqueCount="152">
  <si>
    <t>Columbine Therapy Services</t>
  </si>
  <si>
    <t>PT</t>
  </si>
  <si>
    <t>Formula Worksheet</t>
  </si>
  <si>
    <t>OT</t>
  </si>
  <si>
    <t>ST</t>
  </si>
  <si>
    <t>Type of Service</t>
  </si>
  <si>
    <t>Rate</t>
  </si>
  <si>
    <t>Physical Therapy-Part A, MC, Private, Medicaid, Private Ins/HMO, Hospice</t>
  </si>
  <si>
    <t>/Minute</t>
  </si>
  <si>
    <t>Occupational Therapy-Part A, MC, Private, Medicaid, Private Ins/HMO, Hospice</t>
  </si>
  <si>
    <t>Speech Therapy-Part A, MC, Private, Medicaid, Private Ins/HMO, Hospice</t>
  </si>
  <si>
    <t>Physical Therapy, Occupational Therapy, Speech Therapy-Part B</t>
  </si>
  <si>
    <t>GO283</t>
  </si>
  <si>
    <t>Medicare A</t>
  </si>
  <si>
    <t>Total Speech Therapy</t>
  </si>
  <si>
    <t>Medicare A Totals</t>
  </si>
  <si>
    <t>Physical Therapy-Part A, MC, Private</t>
  </si>
  <si>
    <t>Patient Name</t>
  </si>
  <si>
    <t>Dates of Service</t>
  </si>
  <si>
    <t>Minutes</t>
  </si>
  <si>
    <t>Rate/Min</t>
  </si>
  <si>
    <t>Total</t>
  </si>
  <si>
    <t>Total Physical Therapy</t>
  </si>
  <si>
    <t>Total Occupational Therapy</t>
  </si>
  <si>
    <t>Speech Therapy-Part A, MC</t>
  </si>
  <si>
    <t>Medicare A Total</t>
  </si>
  <si>
    <t>Medicare B</t>
  </si>
  <si>
    <t>Medicare B Grand Total</t>
  </si>
  <si>
    <t>Amount:</t>
  </si>
  <si>
    <t>Physical Therapy-Part B</t>
  </si>
  <si>
    <t>Units</t>
  </si>
  <si>
    <t>Occupational Therapy-Part B</t>
  </si>
  <si>
    <t/>
  </si>
  <si>
    <t>Speech Therapy-Part B</t>
  </si>
  <si>
    <t>Medicare B Total</t>
  </si>
  <si>
    <t>Total Physical Therapy - Medicaid</t>
  </si>
  <si>
    <t>Medicaid / Private Insurance / Private Pay</t>
  </si>
  <si>
    <t>Total Physical Therapy - Private Pay</t>
  </si>
  <si>
    <t>Total Occupational Therapy - Medicaid</t>
  </si>
  <si>
    <t>Total Occupational Therapy - Private Pay</t>
  </si>
  <si>
    <t>Total Speech Therapy - Medicaid</t>
  </si>
  <si>
    <t>Physical Therapy - Medicaid</t>
  </si>
  <si>
    <t>Total Speech Therapy - Private Pay</t>
  </si>
  <si>
    <t xml:space="preserve">Other </t>
  </si>
  <si>
    <t>Grand Total</t>
  </si>
  <si>
    <t>Type</t>
  </si>
  <si>
    <t xml:space="preserve"> Total</t>
  </si>
  <si>
    <t>Physical Therapy - Private Pay units</t>
  </si>
  <si>
    <t>Total Physical Therapy - Private Pay units</t>
  </si>
  <si>
    <t>.</t>
  </si>
  <si>
    <t>Physical Therapy-Private Pay</t>
  </si>
  <si>
    <t>Occupational Therapy - Medicaid</t>
  </si>
  <si>
    <t>Occupational Therapy - Private Pay units</t>
  </si>
  <si>
    <t>Total Occupational Therapy - Private Pay units</t>
  </si>
  <si>
    <t>Occupational Therapy-Private Pay</t>
  </si>
  <si>
    <t>Speech Therapy - Medicaid</t>
  </si>
  <si>
    <t>Speech Therapy - Private Pay units</t>
  </si>
  <si>
    <t>Total Speech Therapy - Private Pay Units</t>
  </si>
  <si>
    <t>Speech Therapy-Private Pay</t>
  </si>
  <si>
    <t>Facility Meeting/Consultation</t>
  </si>
  <si>
    <t>Total Facility Meetings/Consultation</t>
  </si>
  <si>
    <t>Invoice No:</t>
  </si>
  <si>
    <t>Invoice Date:</t>
  </si>
  <si>
    <t>Due Date:</t>
  </si>
  <si>
    <t>Physical Therapy</t>
  </si>
  <si>
    <t>GL CODE</t>
  </si>
  <si>
    <t>Medicare Part A</t>
  </si>
  <si>
    <t>610-05055</t>
  </si>
  <si>
    <t>Medicare Part B</t>
  </si>
  <si>
    <t>630-05055</t>
  </si>
  <si>
    <t xml:space="preserve">Medicaid </t>
  </si>
  <si>
    <t>635-05055</t>
  </si>
  <si>
    <t>650-04055</t>
  </si>
  <si>
    <t>Private Pay</t>
  </si>
  <si>
    <t>650-01055</t>
  </si>
  <si>
    <t>Physical Therapy Totals</t>
  </si>
  <si>
    <t>Occupational Therapy</t>
  </si>
  <si>
    <t>610-05060</t>
  </si>
  <si>
    <t>630-05060</t>
  </si>
  <si>
    <t>Total - Other</t>
  </si>
  <si>
    <t>635-05060</t>
  </si>
  <si>
    <t>650-04060</t>
  </si>
  <si>
    <t>650-01060</t>
  </si>
  <si>
    <t>Occupational Therapy Totals</t>
  </si>
  <si>
    <t>Speech Therapy</t>
  </si>
  <si>
    <t>610-05065</t>
  </si>
  <si>
    <t>630-05065</t>
  </si>
  <si>
    <t>635-05065</t>
  </si>
  <si>
    <t>650-04065</t>
  </si>
  <si>
    <t>650-01065</t>
  </si>
  <si>
    <t>Speech Therapy Totals</t>
  </si>
  <si>
    <t>Non-Billable Totals</t>
  </si>
  <si>
    <t>Remit to Address:</t>
  </si>
  <si>
    <t>802 West Drake Road Suite 145</t>
  </si>
  <si>
    <t>Fort Collins, CO 80526</t>
  </si>
  <si>
    <t>Phone # (970) 492-6238</t>
  </si>
  <si>
    <t>Fax #   (970) 492-6205</t>
  </si>
  <si>
    <t>Fed Tax ID #</t>
  </si>
  <si>
    <t>84-1412876</t>
  </si>
  <si>
    <t>Total Physical Therapy -  Ins/HMO units</t>
  </si>
  <si>
    <t>Total Physical Therapy -  Ins/HMO minutes</t>
  </si>
  <si>
    <t>Total Occupational Therapy -  Ins/HMO minutes</t>
  </si>
  <si>
    <t>Total Occupational Therapy -  Ins/HMO units</t>
  </si>
  <si>
    <t>Total Speech Therapy -  Ins/HMO minutes</t>
  </si>
  <si>
    <t>Total Speech Therapy -  Ins/HMO units</t>
  </si>
  <si>
    <t>Speech Therapy -  Ins/HMO Minutes</t>
  </si>
  <si>
    <t>Total Speech Therapy -  Ins/HMO Minutes</t>
  </si>
  <si>
    <t>Insurance</t>
  </si>
  <si>
    <t>Total Medicaid / RUG Contract /  Ins/HMO / Private Pay</t>
  </si>
  <si>
    <t>Physical Therapy - Ins/HMO units</t>
  </si>
  <si>
    <t>Physical Therapy -  Ins/HMO minutes</t>
  </si>
  <si>
    <t>Physical Therapy -  KAISER minutes</t>
  </si>
  <si>
    <t>Total Physical Therapy -  KAISER minutes</t>
  </si>
  <si>
    <t>Kaiser</t>
  </si>
  <si>
    <t>Occuptational Therapy - Ins/HMO units</t>
  </si>
  <si>
    <t>Occupational Therapy -  KAISER minutes</t>
  </si>
  <si>
    <t>Total Occupational Therapy -  KAISER minutes</t>
  </si>
  <si>
    <t>Occupational Therapy -  Ins/HMO minutes</t>
  </si>
  <si>
    <t>Speech Therapy -  KAISER Minutes</t>
  </si>
  <si>
    <t>Total Speech Therapy -  KAISER minutes</t>
  </si>
  <si>
    <t>Total Speech Therapy -  Ins/HMO Units</t>
  </si>
  <si>
    <t>Speech Therapy -  Ins/HMO Units</t>
  </si>
  <si>
    <t>Attn: Bookkeeping</t>
  </si>
  <si>
    <t>Month/Year:</t>
  </si>
  <si>
    <t>05. January 2017</t>
  </si>
  <si>
    <t>06. February 2017</t>
  </si>
  <si>
    <t>07. March 2017</t>
  </si>
  <si>
    <t>08. April 2017</t>
  </si>
  <si>
    <t>09. May 2017</t>
  </si>
  <si>
    <t>10. June 2017</t>
  </si>
  <si>
    <t>11. July 2017</t>
  </si>
  <si>
    <t>12. August 2017</t>
  </si>
  <si>
    <t>13. September 2017</t>
  </si>
  <si>
    <t>15. November 2017</t>
  </si>
  <si>
    <t>16. December 2017</t>
  </si>
  <si>
    <t>17. January 2018</t>
  </si>
  <si>
    <t>18. February 2018</t>
  </si>
  <si>
    <t>19. March 2018</t>
  </si>
  <si>
    <t>20. April 2018</t>
  </si>
  <si>
    <t>21. May 2018</t>
  </si>
  <si>
    <t>22. June 2018</t>
  </si>
  <si>
    <t>23. July 2018</t>
  </si>
  <si>
    <t>24. August 2018</t>
  </si>
  <si>
    <t>25. September 2018</t>
  </si>
  <si>
    <t>Jan 2017 Burow, G OT.xlsm</t>
  </si>
  <si>
    <t>Records With "Other" Paysources</t>
  </si>
  <si>
    <t>Records Without Paysources</t>
  </si>
  <si>
    <t>Occupational Therapy-Part A, MC</t>
  </si>
  <si>
    <t>04. December 2016</t>
  </si>
  <si>
    <t>Centre Ave Rehab</t>
  </si>
  <si>
    <t>815 Centre Ave</t>
  </si>
  <si>
    <t>Fort Collins, CO  80526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</si>
</sst>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m\ d\,\ yyyy"/>
    <numFmt numFmtId="165" formatCode="mddyy"/>
    <numFmt numFmtId="166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i/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sz val="10"/>
      <color indexed="13"/>
      <name val="Arial"/>
      <family val="2"/>
    </font>
    <font>
      <sz val="9"/>
      <name val="Arial"/>
      <family val="2"/>
    </font>
    <font>
      <sz val="8"/>
      <color indexed="10"/>
      <name val="Arial"/>
      <family val="2"/>
    </font>
    <font>
      <b/>
      <i/>
      <u/>
      <sz val="10"/>
      <name val="Arial"/>
      <family val="2"/>
    </font>
    <font>
      <sz val="10"/>
      <color indexed="8"/>
      <name val="MS Sans Serif"/>
      <family val="2"/>
    </font>
    <font>
      <b/>
      <sz val="11.05"/>
      <color indexed="8"/>
      <name val="Verdana"/>
      <family val="2"/>
    </font>
    <font>
      <sz val="16"/>
      <color theme="1"/>
      <name val="Calibri"/>
      <family val="2"/>
      <scheme val="minor"/>
    </font>
    <font>
      <sz val="12"/>
      <color rgb="FF1F497D"/>
      <name val="Century Gothic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9" fillId="0" borderId="0" applyNumberFormat="0" applyFill="0" applyBorder="0" applyProtection="0">
      <alignment horizontal="center" vertical="center"/>
    </xf>
  </cellStyleXfs>
  <cellXfs count="193">
    <xf numFmtId="0" fontId="0" fillId="0" borderId="0" xfId="0"/>
    <xf numFmtId="0" fontId="2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8" fontId="4" fillId="0" borderId="0" xfId="0" applyNumberFormat="1" applyFont="1" applyFill="1" applyBorder="1"/>
    <xf numFmtId="0" fontId="3" fillId="0" borderId="1" xfId="0" applyFont="1" applyFill="1" applyBorder="1" applyAlignment="1">
      <alignment horizontal="centerContinuous"/>
    </xf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8" fontId="3" fillId="0" borderId="1" xfId="0" applyNumberFormat="1" applyFont="1" applyFill="1" applyBorder="1" applyAlignment="1">
      <alignment horizontal="center"/>
    </xf>
    <xf numFmtId="0" fontId="3" fillId="0" borderId="0" xfId="0" applyFont="1"/>
    <xf numFmtId="0" fontId="0" fillId="0" borderId="0" xfId="0" applyFill="1" applyBorder="1"/>
    <xf numFmtId="0" fontId="3" fillId="0" borderId="0" xfId="0" quotePrefix="1" applyFont="1" applyFill="1" applyBorder="1" applyAlignment="1">
      <alignment horizontal="center"/>
    </xf>
    <xf numFmtId="8" fontId="4" fillId="2" borderId="0" xfId="0" applyNumberFormat="1" applyFont="1" applyFill="1"/>
    <xf numFmtId="0" fontId="3" fillId="0" borderId="0" xfId="0" applyFont="1" applyAlignment="1">
      <alignment horizontal="center"/>
    </xf>
    <xf numFmtId="8" fontId="4" fillId="0" borderId="0" xfId="0" applyNumberFormat="1" applyFont="1" applyFill="1" applyAlignment="1">
      <alignment horizontal="right"/>
    </xf>
    <xf numFmtId="8" fontId="4" fillId="2" borderId="0" xfId="0" applyNumberFormat="1" applyFont="1" applyFill="1" applyAlignment="1">
      <alignment horizontal="right"/>
    </xf>
    <xf numFmtId="8" fontId="4" fillId="3" borderId="0" xfId="0" applyNumberFormat="1" applyFont="1" applyFill="1"/>
    <xf numFmtId="0" fontId="3" fillId="0" borderId="0" xfId="0" applyFont="1" applyBorder="1" applyAlignment="1">
      <alignment horizontal="center"/>
    </xf>
    <xf numFmtId="0" fontId="2" fillId="0" borderId="0" xfId="0" applyFont="1" applyAlignment="1">
      <alignment horizontal="centerContinuous"/>
    </xf>
    <xf numFmtId="0" fontId="2" fillId="0" borderId="0" xfId="0" applyNumberFormat="1" applyFont="1" applyAlignment="1">
      <alignment horizontal="centerContinuous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8" fontId="3" fillId="0" borderId="2" xfId="0" applyNumberFormat="1" applyFont="1" applyBorder="1" applyAlignment="1">
      <alignment horizontal="right"/>
    </xf>
    <xf numFmtId="0" fontId="5" fillId="0" borderId="0" xfId="0" applyFont="1"/>
    <xf numFmtId="0" fontId="5" fillId="0" borderId="0" xfId="0" applyNumberFormat="1" applyFont="1" applyAlignment="1">
      <alignment horizontal="left"/>
    </xf>
    <xf numFmtId="0" fontId="6" fillId="0" borderId="0" xfId="0" applyFont="1"/>
    <xf numFmtId="0" fontId="6" fillId="0" borderId="0" xfId="0" applyNumberFormat="1" applyFont="1" applyAlignment="1">
      <alignment horizontal="left"/>
    </xf>
    <xf numFmtId="0" fontId="7" fillId="0" borderId="0" xfId="0" applyFont="1"/>
    <xf numFmtId="8" fontId="3" fillId="2" borderId="0" xfId="0" applyNumberFormat="1" applyFont="1" applyFill="1"/>
    <xf numFmtId="0" fontId="4" fillId="0" borderId="0" xfId="0" applyFont="1" applyFill="1" applyBorder="1"/>
    <xf numFmtId="8" fontId="8" fillId="4" borderId="3" xfId="0" applyNumberFormat="1" applyFont="1" applyFill="1" applyBorder="1"/>
    <xf numFmtId="0" fontId="4" fillId="0" borderId="0" xfId="0" applyFont="1"/>
    <xf numFmtId="0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Continuous"/>
    </xf>
    <xf numFmtId="0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Continuous"/>
    </xf>
    <xf numFmtId="8" fontId="4" fillId="0" borderId="0" xfId="0" applyNumberFormat="1" applyFont="1" applyFill="1" applyAlignment="1">
      <alignment horizontal="center"/>
    </xf>
    <xf numFmtId="8" fontId="4" fillId="0" borderId="0" xfId="0" applyNumberFormat="1" applyFont="1" applyAlignment="1">
      <alignment horizontal="right"/>
    </xf>
    <xf numFmtId="14" fontId="4" fillId="0" borderId="0" xfId="0" applyNumberFormat="1" applyFont="1"/>
    <xf numFmtId="8" fontId="3" fillId="0" borderId="3" xfId="0" applyNumberFormat="1" applyFont="1" applyBorder="1" applyAlignment="1">
      <alignment horizontal="right"/>
    </xf>
    <xf numFmtId="8" fontId="9" fillId="2" borderId="3" xfId="0" applyNumberFormat="1" applyFont="1" applyFill="1" applyBorder="1"/>
    <xf numFmtId="8" fontId="4" fillId="0" borderId="0" xfId="0" applyNumberFormat="1" applyFont="1" applyAlignment="1">
      <alignment horizontal="center"/>
    </xf>
    <xf numFmtId="8" fontId="4" fillId="0" borderId="0" xfId="0" applyNumberFormat="1" applyFont="1" applyBorder="1" applyAlignment="1">
      <alignment horizontal="left" indent="3"/>
    </xf>
    <xf numFmtId="8" fontId="3" fillId="0" borderId="0" xfId="0" applyNumberFormat="1" applyFont="1" applyAlignment="1">
      <alignment horizontal="center"/>
    </xf>
    <xf numFmtId="44" fontId="10" fillId="4" borderId="4" xfId="0" applyNumberFormat="1" applyFont="1" applyFill="1" applyBorder="1"/>
    <xf numFmtId="8" fontId="3" fillId="0" borderId="0" xfId="0" applyNumberFormat="1" applyFont="1" applyBorder="1" applyAlignment="1">
      <alignment horizontal="right"/>
    </xf>
    <xf numFmtId="8" fontId="3" fillId="2" borderId="0" xfId="0" applyNumberFormat="1" applyFont="1" applyFill="1" applyAlignment="1">
      <alignment horizontal="center"/>
    </xf>
    <xf numFmtId="0" fontId="11" fillId="0" borderId="0" xfId="0" applyFont="1" applyAlignment="1">
      <alignment horizontal="centerContinuous"/>
    </xf>
    <xf numFmtId="0" fontId="11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166" fontId="3" fillId="2" borderId="0" xfId="0" applyNumberFormat="1" applyFont="1" applyFill="1" applyAlignment="1">
      <alignment horizontal="center"/>
    </xf>
    <xf numFmtId="8" fontId="3" fillId="0" borderId="2" xfId="0" applyNumberFormat="1" applyFont="1" applyBorder="1"/>
    <xf numFmtId="8" fontId="3" fillId="0" borderId="0" xfId="0" applyNumberFormat="1" applyFont="1" applyBorder="1"/>
    <xf numFmtId="8" fontId="3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left"/>
    </xf>
    <xf numFmtId="8" fontId="4" fillId="0" borderId="0" xfId="0" applyNumberFormat="1" applyFont="1"/>
    <xf numFmtId="0" fontId="4" fillId="0" borderId="0" xfId="0" quotePrefix="1" applyFont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center"/>
    </xf>
    <xf numFmtId="8" fontId="3" fillId="0" borderId="3" xfId="0" applyNumberFormat="1" applyFont="1" applyBorder="1"/>
    <xf numFmtId="8" fontId="9" fillId="0" borderId="0" xfId="0" applyNumberFormat="1" applyFont="1" applyFill="1" applyBorder="1"/>
    <xf numFmtId="0" fontId="4" fillId="0" borderId="0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8" fontId="3" fillId="0" borderId="3" xfId="2" applyNumberFormat="1" applyFont="1" applyBorder="1"/>
    <xf numFmtId="44" fontId="9" fillId="2" borderId="3" xfId="2" applyFont="1" applyFill="1" applyBorder="1"/>
    <xf numFmtId="0" fontId="3" fillId="0" borderId="0" xfId="0" applyFont="1" applyAlignment="1">
      <alignment horizontal="left"/>
    </xf>
    <xf numFmtId="8" fontId="3" fillId="0" borderId="0" xfId="0" applyNumberFormat="1" applyFont="1"/>
    <xf numFmtId="8" fontId="10" fillId="4" borderId="0" xfId="2" applyNumberFormat="1" applyFont="1" applyFill="1"/>
    <xf numFmtId="1" fontId="2" fillId="0" borderId="0" xfId="0" applyNumberFormat="1" applyFont="1" applyAlignment="1">
      <alignment horizontal="centerContinuous"/>
    </xf>
    <xf numFmtId="1" fontId="2" fillId="0" borderId="0" xfId="0" applyNumberFormat="1" applyFont="1" applyAlignment="1">
      <alignment horizontal="center"/>
    </xf>
    <xf numFmtId="8" fontId="3" fillId="0" borderId="2" xfId="0" applyNumberFormat="1" applyFont="1" applyBorder="1" applyAlignment="1">
      <alignment horizontal="left" indent="3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 applyAlignment="1">
      <alignment horizontal="center"/>
    </xf>
    <xf numFmtId="0" fontId="10" fillId="0" borderId="0" xfId="0" applyFont="1"/>
    <xf numFmtId="8" fontId="3" fillId="0" borderId="0" xfId="0" applyNumberFormat="1" applyFont="1" applyBorder="1" applyAlignment="1">
      <alignment horizontal="left" indent="3"/>
    </xf>
    <xf numFmtId="0" fontId="14" fillId="0" borderId="0" xfId="0" applyFont="1"/>
    <xf numFmtId="0" fontId="15" fillId="0" borderId="0" xfId="0" applyFont="1"/>
    <xf numFmtId="8" fontId="4" fillId="0" borderId="0" xfId="0" applyNumberFormat="1" applyFont="1" applyAlignment="1">
      <alignment horizontal="left" indent="3"/>
    </xf>
    <xf numFmtId="0" fontId="9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0" fontId="9" fillId="0" borderId="0" xfId="0" applyFont="1" applyAlignment="1">
      <alignment horizontal="centerContinuous"/>
    </xf>
    <xf numFmtId="0" fontId="9" fillId="0" borderId="0" xfId="0" applyFont="1" applyAlignment="1">
      <alignment horizontal="center"/>
    </xf>
    <xf numFmtId="8" fontId="9" fillId="0" borderId="0" xfId="0" applyNumberFormat="1" applyFont="1" applyAlignment="1">
      <alignment horizontal="left" indent="3"/>
    </xf>
    <xf numFmtId="0" fontId="4" fillId="0" borderId="0" xfId="0" applyFont="1" applyAlignment="1">
      <alignment horizontal="right"/>
    </xf>
    <xf numFmtId="0" fontId="4" fillId="0" borderId="0" xfId="0" applyFont="1" applyFill="1"/>
    <xf numFmtId="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8" fontId="3" fillId="0" borderId="0" xfId="0" applyNumberFormat="1" applyFont="1" applyAlignment="1">
      <alignment horizontal="left" indent="3"/>
    </xf>
    <xf numFmtId="8" fontId="3" fillId="0" borderId="3" xfId="0" applyNumberFormat="1" applyFont="1" applyBorder="1" applyAlignment="1">
      <alignment horizontal="left" indent="3"/>
    </xf>
    <xf numFmtId="2" fontId="8" fillId="5" borderId="0" xfId="0" applyNumberFormat="1" applyFont="1" applyFill="1"/>
    <xf numFmtId="2" fontId="8" fillId="0" borderId="0" xfId="0" applyNumberFormat="1" applyFont="1" applyFill="1"/>
    <xf numFmtId="0" fontId="3" fillId="0" borderId="0" xfId="0" applyFont="1" applyAlignment="1">
      <alignment horizontal="left" indent="3"/>
    </xf>
    <xf numFmtId="0" fontId="4" fillId="0" borderId="0" xfId="0" quotePrefix="1" applyFont="1" applyFill="1" applyAlignment="1">
      <alignment horizontal="right"/>
    </xf>
    <xf numFmtId="0" fontId="3" fillId="0" borderId="0" xfId="0" applyFont="1" applyFill="1"/>
    <xf numFmtId="0" fontId="4" fillId="0" borderId="0" xfId="0" applyFont="1" applyFill="1" applyAlignment="1">
      <alignment horizontal="centerContinuous"/>
    </xf>
    <xf numFmtId="8" fontId="4" fillId="0" borderId="0" xfId="0" applyNumberFormat="1" applyFont="1" applyFill="1" applyAlignment="1">
      <alignment horizontal="left" indent="3"/>
    </xf>
    <xf numFmtId="0" fontId="8" fillId="0" borderId="0" xfId="0" applyFont="1" applyAlignment="1">
      <alignment horizontal="center"/>
    </xf>
    <xf numFmtId="8" fontId="9" fillId="0" borderId="0" xfId="0" applyNumberFormat="1" applyFont="1" applyAlignment="1">
      <alignment horizontal="right"/>
    </xf>
    <xf numFmtId="8" fontId="9" fillId="0" borderId="0" xfId="0" applyNumberFormat="1" applyFont="1" applyAlignment="1">
      <alignment horizontal="center"/>
    </xf>
    <xf numFmtId="0" fontId="8" fillId="0" borderId="0" xfId="0" applyFont="1"/>
    <xf numFmtId="8" fontId="8" fillId="5" borderId="0" xfId="0" applyNumberFormat="1" applyFont="1" applyFill="1"/>
    <xf numFmtId="44" fontId="10" fillId="4" borderId="0" xfId="2" applyFont="1" applyFill="1"/>
    <xf numFmtId="44" fontId="3" fillId="0" borderId="2" xfId="0" applyNumberFormat="1" applyFont="1" applyBorder="1"/>
    <xf numFmtId="44" fontId="4" fillId="0" borderId="0" xfId="0" applyNumberFormat="1" applyFont="1"/>
    <xf numFmtId="0" fontId="10" fillId="0" borderId="0" xfId="0" applyFont="1" applyAlignment="1">
      <alignment horizontal="right"/>
    </xf>
    <xf numFmtId="44" fontId="3" fillId="0" borderId="3" xfId="0" applyNumberFormat="1" applyFont="1" applyBorder="1"/>
    <xf numFmtId="43" fontId="3" fillId="0" borderId="0" xfId="1" applyFont="1"/>
    <xf numFmtId="43" fontId="3" fillId="6" borderId="3" xfId="1" applyFont="1" applyFill="1" applyBorder="1"/>
    <xf numFmtId="7" fontId="3" fillId="0" borderId="0" xfId="0" applyNumberFormat="1" applyFont="1"/>
    <xf numFmtId="0" fontId="17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15" fontId="5" fillId="0" borderId="0" xfId="0" applyNumberFormat="1" applyFont="1" applyAlignment="1">
      <alignment horizontal="left"/>
    </xf>
    <xf numFmtId="0" fontId="5" fillId="0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/>
    </xf>
    <xf numFmtId="1" fontId="5" fillId="0" borderId="0" xfId="0" applyNumberFormat="1" applyFont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left" indent="3"/>
    </xf>
    <xf numFmtId="0" fontId="5" fillId="0" borderId="0" xfId="0" applyFont="1" applyFill="1"/>
    <xf numFmtId="0" fontId="5" fillId="0" borderId="0" xfId="0" quotePrefix="1" applyFont="1" applyAlignment="1">
      <alignment horizontal="right"/>
    </xf>
    <xf numFmtId="0" fontId="5" fillId="0" borderId="0" xfId="0" applyFont="1" applyAlignment="1">
      <alignment horizontal="left"/>
    </xf>
    <xf numFmtId="1" fontId="5" fillId="0" borderId="0" xfId="0" applyNumberFormat="1" applyFont="1"/>
    <xf numFmtId="0" fontId="5" fillId="0" borderId="0" xfId="0" applyFont="1" applyAlignment="1">
      <alignment horizontal="right"/>
    </xf>
    <xf numFmtId="0" fontId="5" fillId="0" borderId="0" xfId="0" applyNumberFormat="1" applyFont="1" applyAlignment="1">
      <alignment horizontal="center"/>
    </xf>
    <xf numFmtId="0" fontId="5" fillId="2" borderId="0" xfId="0" applyFont="1" applyFill="1"/>
    <xf numFmtId="165" fontId="5" fillId="3" borderId="0" xfId="0" applyNumberFormat="1" applyFont="1" applyFill="1" applyAlignment="1">
      <alignment horizontal="left"/>
    </xf>
    <xf numFmtId="43" fontId="5" fillId="0" borderId="0" xfId="1" applyFont="1"/>
    <xf numFmtId="44" fontId="5" fillId="4" borderId="0" xfId="2" applyFont="1" applyFill="1"/>
    <xf numFmtId="44" fontId="5" fillId="0" borderId="0" xfId="2" applyFont="1"/>
    <xf numFmtId="0" fontId="5" fillId="0" borderId="0" xfId="0" applyFont="1" applyBorder="1"/>
    <xf numFmtId="44" fontId="5" fillId="4" borderId="0" xfId="2" applyNumberFormat="1" applyFont="1" applyFill="1"/>
    <xf numFmtId="44" fontId="5" fillId="2" borderId="0" xfId="2" applyNumberFormat="1" applyFont="1" applyFill="1"/>
    <xf numFmtId="8" fontId="6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5" fillId="0" borderId="0" xfId="0" applyNumberFormat="1" applyFont="1"/>
    <xf numFmtId="166" fontId="0" fillId="0" borderId="0" xfId="0" applyNumberFormat="1"/>
    <xf numFmtId="0" fontId="6" fillId="0" borderId="0" xfId="0" applyNumberFormat="1" applyFont="1" applyAlignment="1">
      <alignment horizontal="center"/>
    </xf>
    <xf numFmtId="8" fontId="6" fillId="7" borderId="0" xfId="0" applyNumberFormat="1" applyFont="1" applyFill="1" applyAlignment="1">
      <alignment horizontal="right"/>
    </xf>
    <xf numFmtId="0" fontId="6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" fontId="6" fillId="0" borderId="0" xfId="0" applyNumberFormat="1" applyFont="1" applyAlignment="1">
      <alignment horizontal="center"/>
    </xf>
    <xf numFmtId="44" fontId="5" fillId="0" borderId="0" xfId="2" applyFont="1" applyFill="1" applyBorder="1" applyAlignment="1">
      <alignment horizontal="left"/>
    </xf>
    <xf numFmtId="44" fontId="5" fillId="0" borderId="0" xfId="2" applyFont="1" applyFill="1" applyBorder="1"/>
    <xf numFmtId="0" fontId="6" fillId="0" borderId="0" xfId="0" applyFont="1" applyFill="1" applyBorder="1"/>
    <xf numFmtId="44" fontId="6" fillId="0" borderId="0" xfId="0" applyNumberFormat="1" applyFont="1" applyFill="1" applyBorder="1"/>
    <xf numFmtId="0" fontId="5" fillId="0" borderId="0" xfId="0" applyFont="1" applyFill="1" applyBorder="1"/>
    <xf numFmtId="0" fontId="5" fillId="8" borderId="0" xfId="0" applyFont="1" applyFill="1"/>
    <xf numFmtId="44" fontId="5" fillId="0" borderId="0" xfId="2" applyNumberFormat="1" applyFont="1" applyFill="1"/>
    <xf numFmtId="0" fontId="4" fillId="0" borderId="0" xfId="0" applyFont="1" applyAlignment="1">
      <alignment horizontal="center"/>
    </xf>
    <xf numFmtId="8" fontId="5" fillId="2" borderId="0" xfId="2" applyNumberFormat="1" applyFont="1" applyFill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quotePrefix="1" applyFont="1" applyAlignment="1">
      <alignment horizontal="right"/>
    </xf>
    <xf numFmtId="0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right"/>
    </xf>
    <xf numFmtId="0" fontId="5" fillId="0" borderId="0" xfId="0" applyFont="1" applyFill="1" applyBorder="1" applyAlignment="1">
      <alignment horizontal="left" vertical="center"/>
    </xf>
    <xf numFmtId="0" fontId="4" fillId="0" borderId="0" xfId="0" applyFont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0" xfId="0" applyFill="1" applyBorder="1"/>
    <xf numFmtId="0" fontId="0" fillId="9" borderId="14" xfId="0" applyFill="1" applyBorder="1"/>
    <xf numFmtId="0" fontId="0" fillId="9" borderId="12" xfId="0" applyFill="1" applyBorder="1"/>
    <xf numFmtId="0" fontId="0" fillId="9" borderId="1" xfId="0" applyFill="1" applyBorder="1"/>
    <xf numFmtId="0" fontId="0" fillId="9" borderId="13" xfId="0" applyFill="1" applyBorder="1"/>
    <xf numFmtId="0" fontId="0" fillId="0" borderId="0" xfId="0" applyFont="1" applyBorder="1" applyAlignment="1">
      <alignment horizontal="left"/>
    </xf>
    <xf numFmtId="0" fontId="21" fillId="0" borderId="0" xfId="0" applyFont="1" applyAlignment="1">
      <alignment vertical="center"/>
    </xf>
    <xf numFmtId="44" fontId="6" fillId="0" borderId="0" xfId="2" applyFont="1"/>
    <xf numFmtId="166" fontId="4" fillId="0" borderId="0" xfId="2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20" fillId="10" borderId="5" xfId="0" applyFont="1" applyFill="1" applyBorder="1" applyAlignment="1">
      <alignment horizontal="center" vertical="center"/>
    </xf>
    <xf numFmtId="0" fontId="20" fillId="10" borderId="6" xfId="0" applyFont="1" applyFill="1" applyBorder="1" applyAlignment="1">
      <alignment horizontal="center" vertical="center"/>
    </xf>
    <xf numFmtId="0" fontId="20" fillId="10" borderId="7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5" fillId="0" borderId="7" xfId="0" applyFont="1" applyBorder="1" applyAlignment="1">
      <alignment horizontal="center"/>
    </xf>
  </cellXfs>
  <cellStyles count="5">
    <cellStyle name="Comma" xfId="1" builtinId="3"/>
    <cellStyle name="Currency" xfId="2" builtinId="4"/>
    <cellStyle name="Currency 2" xfId="4"/>
    <cellStyle name="Normal" xfId="0" builtinId="0"/>
    <cellStyle name="Normal 2" xfId="3"/>
  </cellStyles>
  <dxfs count="0"/>
  <tableStyles count="0" defaultTableStyle="TableStyleMedium2" defaultPivotStyle="PivotStyleMedium9"/>
  <colors>
    <mruColors>
      <color rgb="FFCCE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571498</xdr:colOff>
      <xdr:row>20</xdr:row>
      <xdr:rowOff>152402</xdr:rowOff>
    </xdr:to>
    <xdr:sp macro="[0]!Import_ST_Patient_Minutes" textlink="">
      <xdr:nvSpPr>
        <xdr:cNvPr id="7" name="Rounded Rectangle 6"/>
        <xdr:cNvSpPr/>
      </xdr:nvSpPr>
      <xdr:spPr>
        <a:xfrm>
          <a:off x="609600" y="190500"/>
          <a:ext cx="3619498" cy="1104902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Import ST Medicare A Minutes</a:t>
          </a:r>
        </a:p>
      </xdr:txBody>
    </xdr:sp>
    <xdr:clientData/>
  </xdr:twoCellAnchor>
  <xdr:twoCellAnchor>
    <xdr:from>
      <xdr:col>1</xdr:col>
      <xdr:colOff>0</xdr:colOff>
      <xdr:row>1</xdr:row>
      <xdr:rowOff>0</xdr:rowOff>
    </xdr:from>
    <xdr:to>
      <xdr:col>6</xdr:col>
      <xdr:colOff>571498</xdr:colOff>
      <xdr:row>6</xdr:row>
      <xdr:rowOff>66677</xdr:rowOff>
    </xdr:to>
    <xdr:sp macro="[0]!Import_OT_Patient_Minutes" textlink="">
      <xdr:nvSpPr>
        <xdr:cNvPr id="8" name="Rounded Rectangle 7"/>
        <xdr:cNvSpPr/>
      </xdr:nvSpPr>
      <xdr:spPr>
        <a:xfrm>
          <a:off x="609600" y="190500"/>
          <a:ext cx="3619498" cy="1114427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Import OT Medicare A Minutes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6</xdr:col>
      <xdr:colOff>571498</xdr:colOff>
      <xdr:row>13</xdr:row>
      <xdr:rowOff>161927</xdr:rowOff>
    </xdr:to>
    <xdr:sp macro="[0]!Import_PT_Patient_Minutes" textlink="">
      <xdr:nvSpPr>
        <xdr:cNvPr id="9" name="Rounded Rectangle 8"/>
        <xdr:cNvSpPr/>
      </xdr:nvSpPr>
      <xdr:spPr>
        <a:xfrm>
          <a:off x="609600" y="1619250"/>
          <a:ext cx="3619498" cy="1114427"/>
        </a:xfrm>
        <a:prstGeom prst="roundRect">
          <a:avLst/>
        </a:prstGeom>
        <a:solidFill>
          <a:srgbClr val="4F81BD"/>
        </a:solidFill>
        <a:ln w="2540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Import PT Medicare A Minutes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3"/>
  <sheetViews>
    <sheetView zoomScaleNormal="100" workbookViewId="0">
      <selection activeCell="C17" sqref="C17"/>
    </sheetView>
  </sheetViews>
  <sheetFormatPr defaultRowHeight="14.25" x14ac:dyDescent="0.2"/>
  <cols>
    <col min="1" max="1" width="11" style="23" bestFit="1" customWidth="1"/>
    <col min="2" max="2" width="14.85546875" style="23" customWidth="1"/>
    <col min="3" max="3" width="13.7109375" style="23" customWidth="1"/>
    <col min="4" max="4" width="9.5703125" style="23" customWidth="1"/>
    <col min="5" max="5" width="7.5703125" style="23" customWidth="1"/>
    <col min="6" max="6" width="7.28515625" style="125" customWidth="1"/>
    <col min="7" max="7" width="19.140625" style="23" customWidth="1"/>
    <col min="8" max="8" width="4.7109375" style="23" hidden="1" customWidth="1"/>
    <col min="9" max="9" width="15.42578125" style="23" customWidth="1"/>
    <col min="10" max="10" width="9.42578125" style="23" customWidth="1"/>
    <col min="11" max="11" width="9.140625" style="23"/>
    <col min="12" max="12" width="37.28515625" style="23" customWidth="1"/>
    <col min="13" max="13" width="13.5703125" style="131" customWidth="1"/>
    <col min="14" max="14" width="15" style="23" customWidth="1"/>
    <col min="15" max="256" width="9.140625" style="23"/>
    <col min="257" max="257" width="11" style="23" bestFit="1" customWidth="1"/>
    <col min="258" max="258" width="14.85546875" style="23" customWidth="1"/>
    <col min="259" max="259" width="13.7109375" style="23" customWidth="1"/>
    <col min="260" max="260" width="9.5703125" style="23" customWidth="1"/>
    <col min="261" max="261" width="7.5703125" style="23" customWidth="1"/>
    <col min="262" max="262" width="7.28515625" style="23" customWidth="1"/>
    <col min="263" max="263" width="16.28515625" style="23" customWidth="1"/>
    <col min="264" max="264" width="0" style="23" hidden="1" customWidth="1"/>
    <col min="265" max="265" width="15.42578125" style="23" customWidth="1"/>
    <col min="266" max="266" width="0" style="23" hidden="1" customWidth="1"/>
    <col min="267" max="267" width="9.140625" style="23"/>
    <col min="268" max="268" width="37.28515625" style="23" customWidth="1"/>
    <col min="269" max="269" width="13.5703125" style="23" customWidth="1"/>
    <col min="270" max="270" width="15" style="23" customWidth="1"/>
    <col min="271" max="512" width="9.140625" style="23"/>
    <col min="513" max="513" width="11" style="23" bestFit="1" customWidth="1"/>
    <col min="514" max="514" width="14.85546875" style="23" customWidth="1"/>
    <col min="515" max="515" width="13.7109375" style="23" customWidth="1"/>
    <col min="516" max="516" width="9.5703125" style="23" customWidth="1"/>
    <col min="517" max="517" width="7.5703125" style="23" customWidth="1"/>
    <col min="518" max="518" width="7.28515625" style="23" customWidth="1"/>
    <col min="519" max="519" width="16.28515625" style="23" customWidth="1"/>
    <col min="520" max="520" width="0" style="23" hidden="1" customWidth="1"/>
    <col min="521" max="521" width="15.42578125" style="23" customWidth="1"/>
    <col min="522" max="522" width="0" style="23" hidden="1" customWidth="1"/>
    <col min="523" max="523" width="9.140625" style="23"/>
    <col min="524" max="524" width="37.28515625" style="23" customWidth="1"/>
    <col min="525" max="525" width="13.5703125" style="23" customWidth="1"/>
    <col min="526" max="526" width="15" style="23" customWidth="1"/>
    <col min="527" max="768" width="9.140625" style="23"/>
    <col min="769" max="769" width="11" style="23" bestFit="1" customWidth="1"/>
    <col min="770" max="770" width="14.85546875" style="23" customWidth="1"/>
    <col min="771" max="771" width="13.7109375" style="23" customWidth="1"/>
    <col min="772" max="772" width="9.5703125" style="23" customWidth="1"/>
    <col min="773" max="773" width="7.5703125" style="23" customWidth="1"/>
    <col min="774" max="774" width="7.28515625" style="23" customWidth="1"/>
    <col min="775" max="775" width="16.28515625" style="23" customWidth="1"/>
    <col min="776" max="776" width="0" style="23" hidden="1" customWidth="1"/>
    <col min="777" max="777" width="15.42578125" style="23" customWidth="1"/>
    <col min="778" max="778" width="0" style="23" hidden="1" customWidth="1"/>
    <col min="779" max="779" width="9.140625" style="23"/>
    <col min="780" max="780" width="37.28515625" style="23" customWidth="1"/>
    <col min="781" max="781" width="13.5703125" style="23" customWidth="1"/>
    <col min="782" max="782" width="15" style="23" customWidth="1"/>
    <col min="783" max="1024" width="9.140625" style="23"/>
    <col min="1025" max="1025" width="11" style="23" bestFit="1" customWidth="1"/>
    <col min="1026" max="1026" width="14.85546875" style="23" customWidth="1"/>
    <col min="1027" max="1027" width="13.7109375" style="23" customWidth="1"/>
    <col min="1028" max="1028" width="9.5703125" style="23" customWidth="1"/>
    <col min="1029" max="1029" width="7.5703125" style="23" customWidth="1"/>
    <col min="1030" max="1030" width="7.28515625" style="23" customWidth="1"/>
    <col min="1031" max="1031" width="16.28515625" style="23" customWidth="1"/>
    <col min="1032" max="1032" width="0" style="23" hidden="1" customWidth="1"/>
    <col min="1033" max="1033" width="15.42578125" style="23" customWidth="1"/>
    <col min="1034" max="1034" width="0" style="23" hidden="1" customWidth="1"/>
    <col min="1035" max="1035" width="9.140625" style="23"/>
    <col min="1036" max="1036" width="37.28515625" style="23" customWidth="1"/>
    <col min="1037" max="1037" width="13.5703125" style="23" customWidth="1"/>
    <col min="1038" max="1038" width="15" style="23" customWidth="1"/>
    <col min="1039" max="1280" width="9.140625" style="23"/>
    <col min="1281" max="1281" width="11" style="23" bestFit="1" customWidth="1"/>
    <col min="1282" max="1282" width="14.85546875" style="23" customWidth="1"/>
    <col min="1283" max="1283" width="13.7109375" style="23" customWidth="1"/>
    <col min="1284" max="1284" width="9.5703125" style="23" customWidth="1"/>
    <col min="1285" max="1285" width="7.5703125" style="23" customWidth="1"/>
    <col min="1286" max="1286" width="7.28515625" style="23" customWidth="1"/>
    <col min="1287" max="1287" width="16.28515625" style="23" customWidth="1"/>
    <col min="1288" max="1288" width="0" style="23" hidden="1" customWidth="1"/>
    <col min="1289" max="1289" width="15.42578125" style="23" customWidth="1"/>
    <col min="1290" max="1290" width="0" style="23" hidden="1" customWidth="1"/>
    <col min="1291" max="1291" width="9.140625" style="23"/>
    <col min="1292" max="1292" width="37.28515625" style="23" customWidth="1"/>
    <col min="1293" max="1293" width="13.5703125" style="23" customWidth="1"/>
    <col min="1294" max="1294" width="15" style="23" customWidth="1"/>
    <col min="1295" max="1536" width="9.140625" style="23"/>
    <col min="1537" max="1537" width="11" style="23" bestFit="1" customWidth="1"/>
    <col min="1538" max="1538" width="14.85546875" style="23" customWidth="1"/>
    <col min="1539" max="1539" width="13.7109375" style="23" customWidth="1"/>
    <col min="1540" max="1540" width="9.5703125" style="23" customWidth="1"/>
    <col min="1541" max="1541" width="7.5703125" style="23" customWidth="1"/>
    <col min="1542" max="1542" width="7.28515625" style="23" customWidth="1"/>
    <col min="1543" max="1543" width="16.28515625" style="23" customWidth="1"/>
    <col min="1544" max="1544" width="0" style="23" hidden="1" customWidth="1"/>
    <col min="1545" max="1545" width="15.42578125" style="23" customWidth="1"/>
    <col min="1546" max="1546" width="0" style="23" hidden="1" customWidth="1"/>
    <col min="1547" max="1547" width="9.140625" style="23"/>
    <col min="1548" max="1548" width="37.28515625" style="23" customWidth="1"/>
    <col min="1549" max="1549" width="13.5703125" style="23" customWidth="1"/>
    <col min="1550" max="1550" width="15" style="23" customWidth="1"/>
    <col min="1551" max="1792" width="9.140625" style="23"/>
    <col min="1793" max="1793" width="11" style="23" bestFit="1" customWidth="1"/>
    <col min="1794" max="1794" width="14.85546875" style="23" customWidth="1"/>
    <col min="1795" max="1795" width="13.7109375" style="23" customWidth="1"/>
    <col min="1796" max="1796" width="9.5703125" style="23" customWidth="1"/>
    <col min="1797" max="1797" width="7.5703125" style="23" customWidth="1"/>
    <col min="1798" max="1798" width="7.28515625" style="23" customWidth="1"/>
    <col min="1799" max="1799" width="16.28515625" style="23" customWidth="1"/>
    <col min="1800" max="1800" width="0" style="23" hidden="1" customWidth="1"/>
    <col min="1801" max="1801" width="15.42578125" style="23" customWidth="1"/>
    <col min="1802" max="1802" width="0" style="23" hidden="1" customWidth="1"/>
    <col min="1803" max="1803" width="9.140625" style="23"/>
    <col min="1804" max="1804" width="37.28515625" style="23" customWidth="1"/>
    <col min="1805" max="1805" width="13.5703125" style="23" customWidth="1"/>
    <col min="1806" max="1806" width="15" style="23" customWidth="1"/>
    <col min="1807" max="2048" width="9.140625" style="23"/>
    <col min="2049" max="2049" width="11" style="23" bestFit="1" customWidth="1"/>
    <col min="2050" max="2050" width="14.85546875" style="23" customWidth="1"/>
    <col min="2051" max="2051" width="13.7109375" style="23" customWidth="1"/>
    <col min="2052" max="2052" width="9.5703125" style="23" customWidth="1"/>
    <col min="2053" max="2053" width="7.5703125" style="23" customWidth="1"/>
    <col min="2054" max="2054" width="7.28515625" style="23" customWidth="1"/>
    <col min="2055" max="2055" width="16.28515625" style="23" customWidth="1"/>
    <col min="2056" max="2056" width="0" style="23" hidden="1" customWidth="1"/>
    <col min="2057" max="2057" width="15.42578125" style="23" customWidth="1"/>
    <col min="2058" max="2058" width="0" style="23" hidden="1" customWidth="1"/>
    <col min="2059" max="2059" width="9.140625" style="23"/>
    <col min="2060" max="2060" width="37.28515625" style="23" customWidth="1"/>
    <col min="2061" max="2061" width="13.5703125" style="23" customWidth="1"/>
    <col min="2062" max="2062" width="15" style="23" customWidth="1"/>
    <col min="2063" max="2304" width="9.140625" style="23"/>
    <col min="2305" max="2305" width="11" style="23" bestFit="1" customWidth="1"/>
    <col min="2306" max="2306" width="14.85546875" style="23" customWidth="1"/>
    <col min="2307" max="2307" width="13.7109375" style="23" customWidth="1"/>
    <col min="2308" max="2308" width="9.5703125" style="23" customWidth="1"/>
    <col min="2309" max="2309" width="7.5703125" style="23" customWidth="1"/>
    <col min="2310" max="2310" width="7.28515625" style="23" customWidth="1"/>
    <col min="2311" max="2311" width="16.28515625" style="23" customWidth="1"/>
    <col min="2312" max="2312" width="0" style="23" hidden="1" customWidth="1"/>
    <col min="2313" max="2313" width="15.42578125" style="23" customWidth="1"/>
    <col min="2314" max="2314" width="0" style="23" hidden="1" customWidth="1"/>
    <col min="2315" max="2315" width="9.140625" style="23"/>
    <col min="2316" max="2316" width="37.28515625" style="23" customWidth="1"/>
    <col min="2317" max="2317" width="13.5703125" style="23" customWidth="1"/>
    <col min="2318" max="2318" width="15" style="23" customWidth="1"/>
    <col min="2319" max="2560" width="9.140625" style="23"/>
    <col min="2561" max="2561" width="11" style="23" bestFit="1" customWidth="1"/>
    <col min="2562" max="2562" width="14.85546875" style="23" customWidth="1"/>
    <col min="2563" max="2563" width="13.7109375" style="23" customWidth="1"/>
    <col min="2564" max="2564" width="9.5703125" style="23" customWidth="1"/>
    <col min="2565" max="2565" width="7.5703125" style="23" customWidth="1"/>
    <col min="2566" max="2566" width="7.28515625" style="23" customWidth="1"/>
    <col min="2567" max="2567" width="16.28515625" style="23" customWidth="1"/>
    <col min="2568" max="2568" width="0" style="23" hidden="1" customWidth="1"/>
    <col min="2569" max="2569" width="15.42578125" style="23" customWidth="1"/>
    <col min="2570" max="2570" width="0" style="23" hidden="1" customWidth="1"/>
    <col min="2571" max="2571" width="9.140625" style="23"/>
    <col min="2572" max="2572" width="37.28515625" style="23" customWidth="1"/>
    <col min="2573" max="2573" width="13.5703125" style="23" customWidth="1"/>
    <col min="2574" max="2574" width="15" style="23" customWidth="1"/>
    <col min="2575" max="2816" width="9.140625" style="23"/>
    <col min="2817" max="2817" width="11" style="23" bestFit="1" customWidth="1"/>
    <col min="2818" max="2818" width="14.85546875" style="23" customWidth="1"/>
    <col min="2819" max="2819" width="13.7109375" style="23" customWidth="1"/>
    <col min="2820" max="2820" width="9.5703125" style="23" customWidth="1"/>
    <col min="2821" max="2821" width="7.5703125" style="23" customWidth="1"/>
    <col min="2822" max="2822" width="7.28515625" style="23" customWidth="1"/>
    <col min="2823" max="2823" width="16.28515625" style="23" customWidth="1"/>
    <col min="2824" max="2824" width="0" style="23" hidden="1" customWidth="1"/>
    <col min="2825" max="2825" width="15.42578125" style="23" customWidth="1"/>
    <col min="2826" max="2826" width="0" style="23" hidden="1" customWidth="1"/>
    <col min="2827" max="2827" width="9.140625" style="23"/>
    <col min="2828" max="2828" width="37.28515625" style="23" customWidth="1"/>
    <col min="2829" max="2829" width="13.5703125" style="23" customWidth="1"/>
    <col min="2830" max="2830" width="15" style="23" customWidth="1"/>
    <col min="2831" max="3072" width="9.140625" style="23"/>
    <col min="3073" max="3073" width="11" style="23" bestFit="1" customWidth="1"/>
    <col min="3074" max="3074" width="14.85546875" style="23" customWidth="1"/>
    <col min="3075" max="3075" width="13.7109375" style="23" customWidth="1"/>
    <col min="3076" max="3076" width="9.5703125" style="23" customWidth="1"/>
    <col min="3077" max="3077" width="7.5703125" style="23" customWidth="1"/>
    <col min="3078" max="3078" width="7.28515625" style="23" customWidth="1"/>
    <col min="3079" max="3079" width="16.28515625" style="23" customWidth="1"/>
    <col min="3080" max="3080" width="0" style="23" hidden="1" customWidth="1"/>
    <col min="3081" max="3081" width="15.42578125" style="23" customWidth="1"/>
    <col min="3082" max="3082" width="0" style="23" hidden="1" customWidth="1"/>
    <col min="3083" max="3083" width="9.140625" style="23"/>
    <col min="3084" max="3084" width="37.28515625" style="23" customWidth="1"/>
    <col min="3085" max="3085" width="13.5703125" style="23" customWidth="1"/>
    <col min="3086" max="3086" width="15" style="23" customWidth="1"/>
    <col min="3087" max="3328" width="9.140625" style="23"/>
    <col min="3329" max="3329" width="11" style="23" bestFit="1" customWidth="1"/>
    <col min="3330" max="3330" width="14.85546875" style="23" customWidth="1"/>
    <col min="3331" max="3331" width="13.7109375" style="23" customWidth="1"/>
    <col min="3332" max="3332" width="9.5703125" style="23" customWidth="1"/>
    <col min="3333" max="3333" width="7.5703125" style="23" customWidth="1"/>
    <col min="3334" max="3334" width="7.28515625" style="23" customWidth="1"/>
    <col min="3335" max="3335" width="16.28515625" style="23" customWidth="1"/>
    <col min="3336" max="3336" width="0" style="23" hidden="1" customWidth="1"/>
    <col min="3337" max="3337" width="15.42578125" style="23" customWidth="1"/>
    <col min="3338" max="3338" width="0" style="23" hidden="1" customWidth="1"/>
    <col min="3339" max="3339" width="9.140625" style="23"/>
    <col min="3340" max="3340" width="37.28515625" style="23" customWidth="1"/>
    <col min="3341" max="3341" width="13.5703125" style="23" customWidth="1"/>
    <col min="3342" max="3342" width="15" style="23" customWidth="1"/>
    <col min="3343" max="3584" width="9.140625" style="23"/>
    <col min="3585" max="3585" width="11" style="23" bestFit="1" customWidth="1"/>
    <col min="3586" max="3586" width="14.85546875" style="23" customWidth="1"/>
    <col min="3587" max="3587" width="13.7109375" style="23" customWidth="1"/>
    <col min="3588" max="3588" width="9.5703125" style="23" customWidth="1"/>
    <col min="3589" max="3589" width="7.5703125" style="23" customWidth="1"/>
    <col min="3590" max="3590" width="7.28515625" style="23" customWidth="1"/>
    <col min="3591" max="3591" width="16.28515625" style="23" customWidth="1"/>
    <col min="3592" max="3592" width="0" style="23" hidden="1" customWidth="1"/>
    <col min="3593" max="3593" width="15.42578125" style="23" customWidth="1"/>
    <col min="3594" max="3594" width="0" style="23" hidden="1" customWidth="1"/>
    <col min="3595" max="3595" width="9.140625" style="23"/>
    <col min="3596" max="3596" width="37.28515625" style="23" customWidth="1"/>
    <col min="3597" max="3597" width="13.5703125" style="23" customWidth="1"/>
    <col min="3598" max="3598" width="15" style="23" customWidth="1"/>
    <col min="3599" max="3840" width="9.140625" style="23"/>
    <col min="3841" max="3841" width="11" style="23" bestFit="1" customWidth="1"/>
    <col min="3842" max="3842" width="14.85546875" style="23" customWidth="1"/>
    <col min="3843" max="3843" width="13.7109375" style="23" customWidth="1"/>
    <col min="3844" max="3844" width="9.5703125" style="23" customWidth="1"/>
    <col min="3845" max="3845" width="7.5703125" style="23" customWidth="1"/>
    <col min="3846" max="3846" width="7.28515625" style="23" customWidth="1"/>
    <col min="3847" max="3847" width="16.28515625" style="23" customWidth="1"/>
    <col min="3848" max="3848" width="0" style="23" hidden="1" customWidth="1"/>
    <col min="3849" max="3849" width="15.42578125" style="23" customWidth="1"/>
    <col min="3850" max="3850" width="0" style="23" hidden="1" customWidth="1"/>
    <col min="3851" max="3851" width="9.140625" style="23"/>
    <col min="3852" max="3852" width="37.28515625" style="23" customWidth="1"/>
    <col min="3853" max="3853" width="13.5703125" style="23" customWidth="1"/>
    <col min="3854" max="3854" width="15" style="23" customWidth="1"/>
    <col min="3855" max="4096" width="9.140625" style="23"/>
    <col min="4097" max="4097" width="11" style="23" bestFit="1" customWidth="1"/>
    <col min="4098" max="4098" width="14.85546875" style="23" customWidth="1"/>
    <col min="4099" max="4099" width="13.7109375" style="23" customWidth="1"/>
    <col min="4100" max="4100" width="9.5703125" style="23" customWidth="1"/>
    <col min="4101" max="4101" width="7.5703125" style="23" customWidth="1"/>
    <col min="4102" max="4102" width="7.28515625" style="23" customWidth="1"/>
    <col min="4103" max="4103" width="16.28515625" style="23" customWidth="1"/>
    <col min="4104" max="4104" width="0" style="23" hidden="1" customWidth="1"/>
    <col min="4105" max="4105" width="15.42578125" style="23" customWidth="1"/>
    <col min="4106" max="4106" width="0" style="23" hidden="1" customWidth="1"/>
    <col min="4107" max="4107" width="9.140625" style="23"/>
    <col min="4108" max="4108" width="37.28515625" style="23" customWidth="1"/>
    <col min="4109" max="4109" width="13.5703125" style="23" customWidth="1"/>
    <col min="4110" max="4110" width="15" style="23" customWidth="1"/>
    <col min="4111" max="4352" width="9.140625" style="23"/>
    <col min="4353" max="4353" width="11" style="23" bestFit="1" customWidth="1"/>
    <col min="4354" max="4354" width="14.85546875" style="23" customWidth="1"/>
    <col min="4355" max="4355" width="13.7109375" style="23" customWidth="1"/>
    <col min="4356" max="4356" width="9.5703125" style="23" customWidth="1"/>
    <col min="4357" max="4357" width="7.5703125" style="23" customWidth="1"/>
    <col min="4358" max="4358" width="7.28515625" style="23" customWidth="1"/>
    <col min="4359" max="4359" width="16.28515625" style="23" customWidth="1"/>
    <col min="4360" max="4360" width="0" style="23" hidden="1" customWidth="1"/>
    <col min="4361" max="4361" width="15.42578125" style="23" customWidth="1"/>
    <col min="4362" max="4362" width="0" style="23" hidden="1" customWidth="1"/>
    <col min="4363" max="4363" width="9.140625" style="23"/>
    <col min="4364" max="4364" width="37.28515625" style="23" customWidth="1"/>
    <col min="4365" max="4365" width="13.5703125" style="23" customWidth="1"/>
    <col min="4366" max="4366" width="15" style="23" customWidth="1"/>
    <col min="4367" max="4608" width="9.140625" style="23"/>
    <col min="4609" max="4609" width="11" style="23" bestFit="1" customWidth="1"/>
    <col min="4610" max="4610" width="14.85546875" style="23" customWidth="1"/>
    <col min="4611" max="4611" width="13.7109375" style="23" customWidth="1"/>
    <col min="4612" max="4612" width="9.5703125" style="23" customWidth="1"/>
    <col min="4613" max="4613" width="7.5703125" style="23" customWidth="1"/>
    <col min="4614" max="4614" width="7.28515625" style="23" customWidth="1"/>
    <col min="4615" max="4615" width="16.28515625" style="23" customWidth="1"/>
    <col min="4616" max="4616" width="0" style="23" hidden="1" customWidth="1"/>
    <col min="4617" max="4617" width="15.42578125" style="23" customWidth="1"/>
    <col min="4618" max="4618" width="0" style="23" hidden="1" customWidth="1"/>
    <col min="4619" max="4619" width="9.140625" style="23"/>
    <col min="4620" max="4620" width="37.28515625" style="23" customWidth="1"/>
    <col min="4621" max="4621" width="13.5703125" style="23" customWidth="1"/>
    <col min="4622" max="4622" width="15" style="23" customWidth="1"/>
    <col min="4623" max="4864" width="9.140625" style="23"/>
    <col min="4865" max="4865" width="11" style="23" bestFit="1" customWidth="1"/>
    <col min="4866" max="4866" width="14.85546875" style="23" customWidth="1"/>
    <col min="4867" max="4867" width="13.7109375" style="23" customWidth="1"/>
    <col min="4868" max="4868" width="9.5703125" style="23" customWidth="1"/>
    <col min="4869" max="4869" width="7.5703125" style="23" customWidth="1"/>
    <col min="4870" max="4870" width="7.28515625" style="23" customWidth="1"/>
    <col min="4871" max="4871" width="16.28515625" style="23" customWidth="1"/>
    <col min="4872" max="4872" width="0" style="23" hidden="1" customWidth="1"/>
    <col min="4873" max="4873" width="15.42578125" style="23" customWidth="1"/>
    <col min="4874" max="4874" width="0" style="23" hidden="1" customWidth="1"/>
    <col min="4875" max="4875" width="9.140625" style="23"/>
    <col min="4876" max="4876" width="37.28515625" style="23" customWidth="1"/>
    <col min="4877" max="4877" width="13.5703125" style="23" customWidth="1"/>
    <col min="4878" max="4878" width="15" style="23" customWidth="1"/>
    <col min="4879" max="5120" width="9.140625" style="23"/>
    <col min="5121" max="5121" width="11" style="23" bestFit="1" customWidth="1"/>
    <col min="5122" max="5122" width="14.85546875" style="23" customWidth="1"/>
    <col min="5123" max="5123" width="13.7109375" style="23" customWidth="1"/>
    <col min="5124" max="5124" width="9.5703125" style="23" customWidth="1"/>
    <col min="5125" max="5125" width="7.5703125" style="23" customWidth="1"/>
    <col min="5126" max="5126" width="7.28515625" style="23" customWidth="1"/>
    <col min="5127" max="5127" width="16.28515625" style="23" customWidth="1"/>
    <col min="5128" max="5128" width="0" style="23" hidden="1" customWidth="1"/>
    <col min="5129" max="5129" width="15.42578125" style="23" customWidth="1"/>
    <col min="5130" max="5130" width="0" style="23" hidden="1" customWidth="1"/>
    <col min="5131" max="5131" width="9.140625" style="23"/>
    <col min="5132" max="5132" width="37.28515625" style="23" customWidth="1"/>
    <col min="5133" max="5133" width="13.5703125" style="23" customWidth="1"/>
    <col min="5134" max="5134" width="15" style="23" customWidth="1"/>
    <col min="5135" max="5376" width="9.140625" style="23"/>
    <col min="5377" max="5377" width="11" style="23" bestFit="1" customWidth="1"/>
    <col min="5378" max="5378" width="14.85546875" style="23" customWidth="1"/>
    <col min="5379" max="5379" width="13.7109375" style="23" customWidth="1"/>
    <col min="5380" max="5380" width="9.5703125" style="23" customWidth="1"/>
    <col min="5381" max="5381" width="7.5703125" style="23" customWidth="1"/>
    <col min="5382" max="5382" width="7.28515625" style="23" customWidth="1"/>
    <col min="5383" max="5383" width="16.28515625" style="23" customWidth="1"/>
    <col min="5384" max="5384" width="0" style="23" hidden="1" customWidth="1"/>
    <col min="5385" max="5385" width="15.42578125" style="23" customWidth="1"/>
    <col min="5386" max="5386" width="0" style="23" hidden="1" customWidth="1"/>
    <col min="5387" max="5387" width="9.140625" style="23"/>
    <col min="5388" max="5388" width="37.28515625" style="23" customWidth="1"/>
    <col min="5389" max="5389" width="13.5703125" style="23" customWidth="1"/>
    <col min="5390" max="5390" width="15" style="23" customWidth="1"/>
    <col min="5391" max="5632" width="9.140625" style="23"/>
    <col min="5633" max="5633" width="11" style="23" bestFit="1" customWidth="1"/>
    <col min="5634" max="5634" width="14.85546875" style="23" customWidth="1"/>
    <col min="5635" max="5635" width="13.7109375" style="23" customWidth="1"/>
    <col min="5636" max="5636" width="9.5703125" style="23" customWidth="1"/>
    <col min="5637" max="5637" width="7.5703125" style="23" customWidth="1"/>
    <col min="5638" max="5638" width="7.28515625" style="23" customWidth="1"/>
    <col min="5639" max="5639" width="16.28515625" style="23" customWidth="1"/>
    <col min="5640" max="5640" width="0" style="23" hidden="1" customWidth="1"/>
    <col min="5641" max="5641" width="15.42578125" style="23" customWidth="1"/>
    <col min="5642" max="5642" width="0" style="23" hidden="1" customWidth="1"/>
    <col min="5643" max="5643" width="9.140625" style="23"/>
    <col min="5644" max="5644" width="37.28515625" style="23" customWidth="1"/>
    <col min="5645" max="5645" width="13.5703125" style="23" customWidth="1"/>
    <col min="5646" max="5646" width="15" style="23" customWidth="1"/>
    <col min="5647" max="5888" width="9.140625" style="23"/>
    <col min="5889" max="5889" width="11" style="23" bestFit="1" customWidth="1"/>
    <col min="5890" max="5890" width="14.85546875" style="23" customWidth="1"/>
    <col min="5891" max="5891" width="13.7109375" style="23" customWidth="1"/>
    <col min="5892" max="5892" width="9.5703125" style="23" customWidth="1"/>
    <col min="5893" max="5893" width="7.5703125" style="23" customWidth="1"/>
    <col min="5894" max="5894" width="7.28515625" style="23" customWidth="1"/>
    <col min="5895" max="5895" width="16.28515625" style="23" customWidth="1"/>
    <col min="5896" max="5896" width="0" style="23" hidden="1" customWidth="1"/>
    <col min="5897" max="5897" width="15.42578125" style="23" customWidth="1"/>
    <col min="5898" max="5898" width="0" style="23" hidden="1" customWidth="1"/>
    <col min="5899" max="5899" width="9.140625" style="23"/>
    <col min="5900" max="5900" width="37.28515625" style="23" customWidth="1"/>
    <col min="5901" max="5901" width="13.5703125" style="23" customWidth="1"/>
    <col min="5902" max="5902" width="15" style="23" customWidth="1"/>
    <col min="5903" max="6144" width="9.140625" style="23"/>
    <col min="6145" max="6145" width="11" style="23" bestFit="1" customWidth="1"/>
    <col min="6146" max="6146" width="14.85546875" style="23" customWidth="1"/>
    <col min="6147" max="6147" width="13.7109375" style="23" customWidth="1"/>
    <col min="6148" max="6148" width="9.5703125" style="23" customWidth="1"/>
    <col min="6149" max="6149" width="7.5703125" style="23" customWidth="1"/>
    <col min="6150" max="6150" width="7.28515625" style="23" customWidth="1"/>
    <col min="6151" max="6151" width="16.28515625" style="23" customWidth="1"/>
    <col min="6152" max="6152" width="0" style="23" hidden="1" customWidth="1"/>
    <col min="6153" max="6153" width="15.42578125" style="23" customWidth="1"/>
    <col min="6154" max="6154" width="0" style="23" hidden="1" customWidth="1"/>
    <col min="6155" max="6155" width="9.140625" style="23"/>
    <col min="6156" max="6156" width="37.28515625" style="23" customWidth="1"/>
    <col min="6157" max="6157" width="13.5703125" style="23" customWidth="1"/>
    <col min="6158" max="6158" width="15" style="23" customWidth="1"/>
    <col min="6159" max="6400" width="9.140625" style="23"/>
    <col min="6401" max="6401" width="11" style="23" bestFit="1" customWidth="1"/>
    <col min="6402" max="6402" width="14.85546875" style="23" customWidth="1"/>
    <col min="6403" max="6403" width="13.7109375" style="23" customWidth="1"/>
    <col min="6404" max="6404" width="9.5703125" style="23" customWidth="1"/>
    <col min="6405" max="6405" width="7.5703125" style="23" customWidth="1"/>
    <col min="6406" max="6406" width="7.28515625" style="23" customWidth="1"/>
    <col min="6407" max="6407" width="16.28515625" style="23" customWidth="1"/>
    <col min="6408" max="6408" width="0" style="23" hidden="1" customWidth="1"/>
    <col min="6409" max="6409" width="15.42578125" style="23" customWidth="1"/>
    <col min="6410" max="6410" width="0" style="23" hidden="1" customWidth="1"/>
    <col min="6411" max="6411" width="9.140625" style="23"/>
    <col min="6412" max="6412" width="37.28515625" style="23" customWidth="1"/>
    <col min="6413" max="6413" width="13.5703125" style="23" customWidth="1"/>
    <col min="6414" max="6414" width="15" style="23" customWidth="1"/>
    <col min="6415" max="6656" width="9.140625" style="23"/>
    <col min="6657" max="6657" width="11" style="23" bestFit="1" customWidth="1"/>
    <col min="6658" max="6658" width="14.85546875" style="23" customWidth="1"/>
    <col min="6659" max="6659" width="13.7109375" style="23" customWidth="1"/>
    <col min="6660" max="6660" width="9.5703125" style="23" customWidth="1"/>
    <col min="6661" max="6661" width="7.5703125" style="23" customWidth="1"/>
    <col min="6662" max="6662" width="7.28515625" style="23" customWidth="1"/>
    <col min="6663" max="6663" width="16.28515625" style="23" customWidth="1"/>
    <col min="6664" max="6664" width="0" style="23" hidden="1" customWidth="1"/>
    <col min="6665" max="6665" width="15.42578125" style="23" customWidth="1"/>
    <col min="6666" max="6666" width="0" style="23" hidden="1" customWidth="1"/>
    <col min="6667" max="6667" width="9.140625" style="23"/>
    <col min="6668" max="6668" width="37.28515625" style="23" customWidth="1"/>
    <col min="6669" max="6669" width="13.5703125" style="23" customWidth="1"/>
    <col min="6670" max="6670" width="15" style="23" customWidth="1"/>
    <col min="6671" max="6912" width="9.140625" style="23"/>
    <col min="6913" max="6913" width="11" style="23" bestFit="1" customWidth="1"/>
    <col min="6914" max="6914" width="14.85546875" style="23" customWidth="1"/>
    <col min="6915" max="6915" width="13.7109375" style="23" customWidth="1"/>
    <col min="6916" max="6916" width="9.5703125" style="23" customWidth="1"/>
    <col min="6917" max="6917" width="7.5703125" style="23" customWidth="1"/>
    <col min="6918" max="6918" width="7.28515625" style="23" customWidth="1"/>
    <col min="6919" max="6919" width="16.28515625" style="23" customWidth="1"/>
    <col min="6920" max="6920" width="0" style="23" hidden="1" customWidth="1"/>
    <col min="6921" max="6921" width="15.42578125" style="23" customWidth="1"/>
    <col min="6922" max="6922" width="0" style="23" hidden="1" customWidth="1"/>
    <col min="6923" max="6923" width="9.140625" style="23"/>
    <col min="6924" max="6924" width="37.28515625" style="23" customWidth="1"/>
    <col min="6925" max="6925" width="13.5703125" style="23" customWidth="1"/>
    <col min="6926" max="6926" width="15" style="23" customWidth="1"/>
    <col min="6927" max="7168" width="9.140625" style="23"/>
    <col min="7169" max="7169" width="11" style="23" bestFit="1" customWidth="1"/>
    <col min="7170" max="7170" width="14.85546875" style="23" customWidth="1"/>
    <col min="7171" max="7171" width="13.7109375" style="23" customWidth="1"/>
    <col min="7172" max="7172" width="9.5703125" style="23" customWidth="1"/>
    <col min="7173" max="7173" width="7.5703125" style="23" customWidth="1"/>
    <col min="7174" max="7174" width="7.28515625" style="23" customWidth="1"/>
    <col min="7175" max="7175" width="16.28515625" style="23" customWidth="1"/>
    <col min="7176" max="7176" width="0" style="23" hidden="1" customWidth="1"/>
    <col min="7177" max="7177" width="15.42578125" style="23" customWidth="1"/>
    <col min="7178" max="7178" width="0" style="23" hidden="1" customWidth="1"/>
    <col min="7179" max="7179" width="9.140625" style="23"/>
    <col min="7180" max="7180" width="37.28515625" style="23" customWidth="1"/>
    <col min="7181" max="7181" width="13.5703125" style="23" customWidth="1"/>
    <col min="7182" max="7182" width="15" style="23" customWidth="1"/>
    <col min="7183" max="7424" width="9.140625" style="23"/>
    <col min="7425" max="7425" width="11" style="23" bestFit="1" customWidth="1"/>
    <col min="7426" max="7426" width="14.85546875" style="23" customWidth="1"/>
    <col min="7427" max="7427" width="13.7109375" style="23" customWidth="1"/>
    <col min="7428" max="7428" width="9.5703125" style="23" customWidth="1"/>
    <col min="7429" max="7429" width="7.5703125" style="23" customWidth="1"/>
    <col min="7430" max="7430" width="7.28515625" style="23" customWidth="1"/>
    <col min="7431" max="7431" width="16.28515625" style="23" customWidth="1"/>
    <col min="7432" max="7432" width="0" style="23" hidden="1" customWidth="1"/>
    <col min="7433" max="7433" width="15.42578125" style="23" customWidth="1"/>
    <col min="7434" max="7434" width="0" style="23" hidden="1" customWidth="1"/>
    <col min="7435" max="7435" width="9.140625" style="23"/>
    <col min="7436" max="7436" width="37.28515625" style="23" customWidth="1"/>
    <col min="7437" max="7437" width="13.5703125" style="23" customWidth="1"/>
    <col min="7438" max="7438" width="15" style="23" customWidth="1"/>
    <col min="7439" max="7680" width="9.140625" style="23"/>
    <col min="7681" max="7681" width="11" style="23" bestFit="1" customWidth="1"/>
    <col min="7682" max="7682" width="14.85546875" style="23" customWidth="1"/>
    <col min="7683" max="7683" width="13.7109375" style="23" customWidth="1"/>
    <col min="7684" max="7684" width="9.5703125" style="23" customWidth="1"/>
    <col min="7685" max="7685" width="7.5703125" style="23" customWidth="1"/>
    <col min="7686" max="7686" width="7.28515625" style="23" customWidth="1"/>
    <col min="7687" max="7687" width="16.28515625" style="23" customWidth="1"/>
    <col min="7688" max="7688" width="0" style="23" hidden="1" customWidth="1"/>
    <col min="7689" max="7689" width="15.42578125" style="23" customWidth="1"/>
    <col min="7690" max="7690" width="0" style="23" hidden="1" customWidth="1"/>
    <col min="7691" max="7691" width="9.140625" style="23"/>
    <col min="7692" max="7692" width="37.28515625" style="23" customWidth="1"/>
    <col min="7693" max="7693" width="13.5703125" style="23" customWidth="1"/>
    <col min="7694" max="7694" width="15" style="23" customWidth="1"/>
    <col min="7695" max="7936" width="9.140625" style="23"/>
    <col min="7937" max="7937" width="11" style="23" bestFit="1" customWidth="1"/>
    <col min="7938" max="7938" width="14.85546875" style="23" customWidth="1"/>
    <col min="7939" max="7939" width="13.7109375" style="23" customWidth="1"/>
    <col min="7940" max="7940" width="9.5703125" style="23" customWidth="1"/>
    <col min="7941" max="7941" width="7.5703125" style="23" customWidth="1"/>
    <col min="7942" max="7942" width="7.28515625" style="23" customWidth="1"/>
    <col min="7943" max="7943" width="16.28515625" style="23" customWidth="1"/>
    <col min="7944" max="7944" width="0" style="23" hidden="1" customWidth="1"/>
    <col min="7945" max="7945" width="15.42578125" style="23" customWidth="1"/>
    <col min="7946" max="7946" width="0" style="23" hidden="1" customWidth="1"/>
    <col min="7947" max="7947" width="9.140625" style="23"/>
    <col min="7948" max="7948" width="37.28515625" style="23" customWidth="1"/>
    <col min="7949" max="7949" width="13.5703125" style="23" customWidth="1"/>
    <col min="7950" max="7950" width="15" style="23" customWidth="1"/>
    <col min="7951" max="8192" width="9.140625" style="23"/>
    <col min="8193" max="8193" width="11" style="23" bestFit="1" customWidth="1"/>
    <col min="8194" max="8194" width="14.85546875" style="23" customWidth="1"/>
    <col min="8195" max="8195" width="13.7109375" style="23" customWidth="1"/>
    <col min="8196" max="8196" width="9.5703125" style="23" customWidth="1"/>
    <col min="8197" max="8197" width="7.5703125" style="23" customWidth="1"/>
    <col min="8198" max="8198" width="7.28515625" style="23" customWidth="1"/>
    <col min="8199" max="8199" width="16.28515625" style="23" customWidth="1"/>
    <col min="8200" max="8200" width="0" style="23" hidden="1" customWidth="1"/>
    <col min="8201" max="8201" width="15.42578125" style="23" customWidth="1"/>
    <col min="8202" max="8202" width="0" style="23" hidden="1" customWidth="1"/>
    <col min="8203" max="8203" width="9.140625" style="23"/>
    <col min="8204" max="8204" width="37.28515625" style="23" customWidth="1"/>
    <col min="8205" max="8205" width="13.5703125" style="23" customWidth="1"/>
    <col min="8206" max="8206" width="15" style="23" customWidth="1"/>
    <col min="8207" max="8448" width="9.140625" style="23"/>
    <col min="8449" max="8449" width="11" style="23" bestFit="1" customWidth="1"/>
    <col min="8450" max="8450" width="14.85546875" style="23" customWidth="1"/>
    <col min="8451" max="8451" width="13.7109375" style="23" customWidth="1"/>
    <col min="8452" max="8452" width="9.5703125" style="23" customWidth="1"/>
    <col min="8453" max="8453" width="7.5703125" style="23" customWidth="1"/>
    <col min="8454" max="8454" width="7.28515625" style="23" customWidth="1"/>
    <col min="8455" max="8455" width="16.28515625" style="23" customWidth="1"/>
    <col min="8456" max="8456" width="0" style="23" hidden="1" customWidth="1"/>
    <col min="8457" max="8457" width="15.42578125" style="23" customWidth="1"/>
    <col min="8458" max="8458" width="0" style="23" hidden="1" customWidth="1"/>
    <col min="8459" max="8459" width="9.140625" style="23"/>
    <col min="8460" max="8460" width="37.28515625" style="23" customWidth="1"/>
    <col min="8461" max="8461" width="13.5703125" style="23" customWidth="1"/>
    <col min="8462" max="8462" width="15" style="23" customWidth="1"/>
    <col min="8463" max="8704" width="9.140625" style="23"/>
    <col min="8705" max="8705" width="11" style="23" bestFit="1" customWidth="1"/>
    <col min="8706" max="8706" width="14.85546875" style="23" customWidth="1"/>
    <col min="8707" max="8707" width="13.7109375" style="23" customWidth="1"/>
    <col min="8708" max="8708" width="9.5703125" style="23" customWidth="1"/>
    <col min="8709" max="8709" width="7.5703125" style="23" customWidth="1"/>
    <col min="8710" max="8710" width="7.28515625" style="23" customWidth="1"/>
    <col min="8711" max="8711" width="16.28515625" style="23" customWidth="1"/>
    <col min="8712" max="8712" width="0" style="23" hidden="1" customWidth="1"/>
    <col min="8713" max="8713" width="15.42578125" style="23" customWidth="1"/>
    <col min="8714" max="8714" width="0" style="23" hidden="1" customWidth="1"/>
    <col min="8715" max="8715" width="9.140625" style="23"/>
    <col min="8716" max="8716" width="37.28515625" style="23" customWidth="1"/>
    <col min="8717" max="8717" width="13.5703125" style="23" customWidth="1"/>
    <col min="8718" max="8718" width="15" style="23" customWidth="1"/>
    <col min="8719" max="8960" width="9.140625" style="23"/>
    <col min="8961" max="8961" width="11" style="23" bestFit="1" customWidth="1"/>
    <col min="8962" max="8962" width="14.85546875" style="23" customWidth="1"/>
    <col min="8963" max="8963" width="13.7109375" style="23" customWidth="1"/>
    <col min="8964" max="8964" width="9.5703125" style="23" customWidth="1"/>
    <col min="8965" max="8965" width="7.5703125" style="23" customWidth="1"/>
    <col min="8966" max="8966" width="7.28515625" style="23" customWidth="1"/>
    <col min="8967" max="8967" width="16.28515625" style="23" customWidth="1"/>
    <col min="8968" max="8968" width="0" style="23" hidden="1" customWidth="1"/>
    <col min="8969" max="8969" width="15.42578125" style="23" customWidth="1"/>
    <col min="8970" max="8970" width="0" style="23" hidden="1" customWidth="1"/>
    <col min="8971" max="8971" width="9.140625" style="23"/>
    <col min="8972" max="8972" width="37.28515625" style="23" customWidth="1"/>
    <col min="8973" max="8973" width="13.5703125" style="23" customWidth="1"/>
    <col min="8974" max="8974" width="15" style="23" customWidth="1"/>
    <col min="8975" max="9216" width="9.140625" style="23"/>
    <col min="9217" max="9217" width="11" style="23" bestFit="1" customWidth="1"/>
    <col min="9218" max="9218" width="14.85546875" style="23" customWidth="1"/>
    <col min="9219" max="9219" width="13.7109375" style="23" customWidth="1"/>
    <col min="9220" max="9220" width="9.5703125" style="23" customWidth="1"/>
    <col min="9221" max="9221" width="7.5703125" style="23" customWidth="1"/>
    <col min="9222" max="9222" width="7.28515625" style="23" customWidth="1"/>
    <col min="9223" max="9223" width="16.28515625" style="23" customWidth="1"/>
    <col min="9224" max="9224" width="0" style="23" hidden="1" customWidth="1"/>
    <col min="9225" max="9225" width="15.42578125" style="23" customWidth="1"/>
    <col min="9226" max="9226" width="0" style="23" hidden="1" customWidth="1"/>
    <col min="9227" max="9227" width="9.140625" style="23"/>
    <col min="9228" max="9228" width="37.28515625" style="23" customWidth="1"/>
    <col min="9229" max="9229" width="13.5703125" style="23" customWidth="1"/>
    <col min="9230" max="9230" width="15" style="23" customWidth="1"/>
    <col min="9231" max="9472" width="9.140625" style="23"/>
    <col min="9473" max="9473" width="11" style="23" bestFit="1" customWidth="1"/>
    <col min="9474" max="9474" width="14.85546875" style="23" customWidth="1"/>
    <col min="9475" max="9475" width="13.7109375" style="23" customWidth="1"/>
    <col min="9476" max="9476" width="9.5703125" style="23" customWidth="1"/>
    <col min="9477" max="9477" width="7.5703125" style="23" customWidth="1"/>
    <col min="9478" max="9478" width="7.28515625" style="23" customWidth="1"/>
    <col min="9479" max="9479" width="16.28515625" style="23" customWidth="1"/>
    <col min="9480" max="9480" width="0" style="23" hidden="1" customWidth="1"/>
    <col min="9481" max="9481" width="15.42578125" style="23" customWidth="1"/>
    <col min="9482" max="9482" width="0" style="23" hidden="1" customWidth="1"/>
    <col min="9483" max="9483" width="9.140625" style="23"/>
    <col min="9484" max="9484" width="37.28515625" style="23" customWidth="1"/>
    <col min="9485" max="9485" width="13.5703125" style="23" customWidth="1"/>
    <col min="9486" max="9486" width="15" style="23" customWidth="1"/>
    <col min="9487" max="9728" width="9.140625" style="23"/>
    <col min="9729" max="9729" width="11" style="23" bestFit="1" customWidth="1"/>
    <col min="9730" max="9730" width="14.85546875" style="23" customWidth="1"/>
    <col min="9731" max="9731" width="13.7109375" style="23" customWidth="1"/>
    <col min="9732" max="9732" width="9.5703125" style="23" customWidth="1"/>
    <col min="9733" max="9733" width="7.5703125" style="23" customWidth="1"/>
    <col min="9734" max="9734" width="7.28515625" style="23" customWidth="1"/>
    <col min="9735" max="9735" width="16.28515625" style="23" customWidth="1"/>
    <col min="9736" max="9736" width="0" style="23" hidden="1" customWidth="1"/>
    <col min="9737" max="9737" width="15.42578125" style="23" customWidth="1"/>
    <col min="9738" max="9738" width="0" style="23" hidden="1" customWidth="1"/>
    <col min="9739" max="9739" width="9.140625" style="23"/>
    <col min="9740" max="9740" width="37.28515625" style="23" customWidth="1"/>
    <col min="9741" max="9741" width="13.5703125" style="23" customWidth="1"/>
    <col min="9742" max="9742" width="15" style="23" customWidth="1"/>
    <col min="9743" max="9984" width="9.140625" style="23"/>
    <col min="9985" max="9985" width="11" style="23" bestFit="1" customWidth="1"/>
    <col min="9986" max="9986" width="14.85546875" style="23" customWidth="1"/>
    <col min="9987" max="9987" width="13.7109375" style="23" customWidth="1"/>
    <col min="9988" max="9988" width="9.5703125" style="23" customWidth="1"/>
    <col min="9989" max="9989" width="7.5703125" style="23" customWidth="1"/>
    <col min="9990" max="9990" width="7.28515625" style="23" customWidth="1"/>
    <col min="9991" max="9991" width="16.28515625" style="23" customWidth="1"/>
    <col min="9992" max="9992" width="0" style="23" hidden="1" customWidth="1"/>
    <col min="9993" max="9993" width="15.42578125" style="23" customWidth="1"/>
    <col min="9994" max="9994" width="0" style="23" hidden="1" customWidth="1"/>
    <col min="9995" max="9995" width="9.140625" style="23"/>
    <col min="9996" max="9996" width="37.28515625" style="23" customWidth="1"/>
    <col min="9997" max="9997" width="13.5703125" style="23" customWidth="1"/>
    <col min="9998" max="9998" width="15" style="23" customWidth="1"/>
    <col min="9999" max="10240" width="9.140625" style="23"/>
    <col min="10241" max="10241" width="11" style="23" bestFit="1" customWidth="1"/>
    <col min="10242" max="10242" width="14.85546875" style="23" customWidth="1"/>
    <col min="10243" max="10243" width="13.7109375" style="23" customWidth="1"/>
    <col min="10244" max="10244" width="9.5703125" style="23" customWidth="1"/>
    <col min="10245" max="10245" width="7.5703125" style="23" customWidth="1"/>
    <col min="10246" max="10246" width="7.28515625" style="23" customWidth="1"/>
    <col min="10247" max="10247" width="16.28515625" style="23" customWidth="1"/>
    <col min="10248" max="10248" width="0" style="23" hidden="1" customWidth="1"/>
    <col min="10249" max="10249" width="15.42578125" style="23" customWidth="1"/>
    <col min="10250" max="10250" width="0" style="23" hidden="1" customWidth="1"/>
    <col min="10251" max="10251" width="9.140625" style="23"/>
    <col min="10252" max="10252" width="37.28515625" style="23" customWidth="1"/>
    <col min="10253" max="10253" width="13.5703125" style="23" customWidth="1"/>
    <col min="10254" max="10254" width="15" style="23" customWidth="1"/>
    <col min="10255" max="10496" width="9.140625" style="23"/>
    <col min="10497" max="10497" width="11" style="23" bestFit="1" customWidth="1"/>
    <col min="10498" max="10498" width="14.85546875" style="23" customWidth="1"/>
    <col min="10499" max="10499" width="13.7109375" style="23" customWidth="1"/>
    <col min="10500" max="10500" width="9.5703125" style="23" customWidth="1"/>
    <col min="10501" max="10501" width="7.5703125" style="23" customWidth="1"/>
    <col min="10502" max="10502" width="7.28515625" style="23" customWidth="1"/>
    <col min="10503" max="10503" width="16.28515625" style="23" customWidth="1"/>
    <col min="10504" max="10504" width="0" style="23" hidden="1" customWidth="1"/>
    <col min="10505" max="10505" width="15.42578125" style="23" customWidth="1"/>
    <col min="10506" max="10506" width="0" style="23" hidden="1" customWidth="1"/>
    <col min="10507" max="10507" width="9.140625" style="23"/>
    <col min="10508" max="10508" width="37.28515625" style="23" customWidth="1"/>
    <col min="10509" max="10509" width="13.5703125" style="23" customWidth="1"/>
    <col min="10510" max="10510" width="15" style="23" customWidth="1"/>
    <col min="10511" max="10752" width="9.140625" style="23"/>
    <col min="10753" max="10753" width="11" style="23" bestFit="1" customWidth="1"/>
    <col min="10754" max="10754" width="14.85546875" style="23" customWidth="1"/>
    <col min="10755" max="10755" width="13.7109375" style="23" customWidth="1"/>
    <col min="10756" max="10756" width="9.5703125" style="23" customWidth="1"/>
    <col min="10757" max="10757" width="7.5703125" style="23" customWidth="1"/>
    <col min="10758" max="10758" width="7.28515625" style="23" customWidth="1"/>
    <col min="10759" max="10759" width="16.28515625" style="23" customWidth="1"/>
    <col min="10760" max="10760" width="0" style="23" hidden="1" customWidth="1"/>
    <col min="10761" max="10761" width="15.42578125" style="23" customWidth="1"/>
    <col min="10762" max="10762" width="0" style="23" hidden="1" customWidth="1"/>
    <col min="10763" max="10763" width="9.140625" style="23"/>
    <col min="10764" max="10764" width="37.28515625" style="23" customWidth="1"/>
    <col min="10765" max="10765" width="13.5703125" style="23" customWidth="1"/>
    <col min="10766" max="10766" width="15" style="23" customWidth="1"/>
    <col min="10767" max="11008" width="9.140625" style="23"/>
    <col min="11009" max="11009" width="11" style="23" bestFit="1" customWidth="1"/>
    <col min="11010" max="11010" width="14.85546875" style="23" customWidth="1"/>
    <col min="11011" max="11011" width="13.7109375" style="23" customWidth="1"/>
    <col min="11012" max="11012" width="9.5703125" style="23" customWidth="1"/>
    <col min="11013" max="11013" width="7.5703125" style="23" customWidth="1"/>
    <col min="11014" max="11014" width="7.28515625" style="23" customWidth="1"/>
    <col min="11015" max="11015" width="16.28515625" style="23" customWidth="1"/>
    <col min="11016" max="11016" width="0" style="23" hidden="1" customWidth="1"/>
    <col min="11017" max="11017" width="15.42578125" style="23" customWidth="1"/>
    <col min="11018" max="11018" width="0" style="23" hidden="1" customWidth="1"/>
    <col min="11019" max="11019" width="9.140625" style="23"/>
    <col min="11020" max="11020" width="37.28515625" style="23" customWidth="1"/>
    <col min="11021" max="11021" width="13.5703125" style="23" customWidth="1"/>
    <col min="11022" max="11022" width="15" style="23" customWidth="1"/>
    <col min="11023" max="11264" width="9.140625" style="23"/>
    <col min="11265" max="11265" width="11" style="23" bestFit="1" customWidth="1"/>
    <col min="11266" max="11266" width="14.85546875" style="23" customWidth="1"/>
    <col min="11267" max="11267" width="13.7109375" style="23" customWidth="1"/>
    <col min="11268" max="11268" width="9.5703125" style="23" customWidth="1"/>
    <col min="11269" max="11269" width="7.5703125" style="23" customWidth="1"/>
    <col min="11270" max="11270" width="7.28515625" style="23" customWidth="1"/>
    <col min="11271" max="11271" width="16.28515625" style="23" customWidth="1"/>
    <col min="11272" max="11272" width="0" style="23" hidden="1" customWidth="1"/>
    <col min="11273" max="11273" width="15.42578125" style="23" customWidth="1"/>
    <col min="11274" max="11274" width="0" style="23" hidden="1" customWidth="1"/>
    <col min="11275" max="11275" width="9.140625" style="23"/>
    <col min="11276" max="11276" width="37.28515625" style="23" customWidth="1"/>
    <col min="11277" max="11277" width="13.5703125" style="23" customWidth="1"/>
    <col min="11278" max="11278" width="15" style="23" customWidth="1"/>
    <col min="11279" max="11520" width="9.140625" style="23"/>
    <col min="11521" max="11521" width="11" style="23" bestFit="1" customWidth="1"/>
    <col min="11522" max="11522" width="14.85546875" style="23" customWidth="1"/>
    <col min="11523" max="11523" width="13.7109375" style="23" customWidth="1"/>
    <col min="11524" max="11524" width="9.5703125" style="23" customWidth="1"/>
    <col min="11525" max="11525" width="7.5703125" style="23" customWidth="1"/>
    <col min="11526" max="11526" width="7.28515625" style="23" customWidth="1"/>
    <col min="11527" max="11527" width="16.28515625" style="23" customWidth="1"/>
    <col min="11528" max="11528" width="0" style="23" hidden="1" customWidth="1"/>
    <col min="11529" max="11529" width="15.42578125" style="23" customWidth="1"/>
    <col min="11530" max="11530" width="0" style="23" hidden="1" customWidth="1"/>
    <col min="11531" max="11531" width="9.140625" style="23"/>
    <col min="11532" max="11532" width="37.28515625" style="23" customWidth="1"/>
    <col min="11533" max="11533" width="13.5703125" style="23" customWidth="1"/>
    <col min="11534" max="11534" width="15" style="23" customWidth="1"/>
    <col min="11535" max="11776" width="9.140625" style="23"/>
    <col min="11777" max="11777" width="11" style="23" bestFit="1" customWidth="1"/>
    <col min="11778" max="11778" width="14.85546875" style="23" customWidth="1"/>
    <col min="11779" max="11779" width="13.7109375" style="23" customWidth="1"/>
    <col min="11780" max="11780" width="9.5703125" style="23" customWidth="1"/>
    <col min="11781" max="11781" width="7.5703125" style="23" customWidth="1"/>
    <col min="11782" max="11782" width="7.28515625" style="23" customWidth="1"/>
    <col min="11783" max="11783" width="16.28515625" style="23" customWidth="1"/>
    <col min="11784" max="11784" width="0" style="23" hidden="1" customWidth="1"/>
    <col min="11785" max="11785" width="15.42578125" style="23" customWidth="1"/>
    <col min="11786" max="11786" width="0" style="23" hidden="1" customWidth="1"/>
    <col min="11787" max="11787" width="9.140625" style="23"/>
    <col min="11788" max="11788" width="37.28515625" style="23" customWidth="1"/>
    <col min="11789" max="11789" width="13.5703125" style="23" customWidth="1"/>
    <col min="11790" max="11790" width="15" style="23" customWidth="1"/>
    <col min="11791" max="12032" width="9.140625" style="23"/>
    <col min="12033" max="12033" width="11" style="23" bestFit="1" customWidth="1"/>
    <col min="12034" max="12034" width="14.85546875" style="23" customWidth="1"/>
    <col min="12035" max="12035" width="13.7109375" style="23" customWidth="1"/>
    <col min="12036" max="12036" width="9.5703125" style="23" customWidth="1"/>
    <col min="12037" max="12037" width="7.5703125" style="23" customWidth="1"/>
    <col min="12038" max="12038" width="7.28515625" style="23" customWidth="1"/>
    <col min="12039" max="12039" width="16.28515625" style="23" customWidth="1"/>
    <col min="12040" max="12040" width="0" style="23" hidden="1" customWidth="1"/>
    <col min="12041" max="12041" width="15.42578125" style="23" customWidth="1"/>
    <col min="12042" max="12042" width="0" style="23" hidden="1" customWidth="1"/>
    <col min="12043" max="12043" width="9.140625" style="23"/>
    <col min="12044" max="12044" width="37.28515625" style="23" customWidth="1"/>
    <col min="12045" max="12045" width="13.5703125" style="23" customWidth="1"/>
    <col min="12046" max="12046" width="15" style="23" customWidth="1"/>
    <col min="12047" max="12288" width="9.140625" style="23"/>
    <col min="12289" max="12289" width="11" style="23" bestFit="1" customWidth="1"/>
    <col min="12290" max="12290" width="14.85546875" style="23" customWidth="1"/>
    <col min="12291" max="12291" width="13.7109375" style="23" customWidth="1"/>
    <col min="12292" max="12292" width="9.5703125" style="23" customWidth="1"/>
    <col min="12293" max="12293" width="7.5703125" style="23" customWidth="1"/>
    <col min="12294" max="12294" width="7.28515625" style="23" customWidth="1"/>
    <col min="12295" max="12295" width="16.28515625" style="23" customWidth="1"/>
    <col min="12296" max="12296" width="0" style="23" hidden="1" customWidth="1"/>
    <col min="12297" max="12297" width="15.42578125" style="23" customWidth="1"/>
    <col min="12298" max="12298" width="0" style="23" hidden="1" customWidth="1"/>
    <col min="12299" max="12299" width="9.140625" style="23"/>
    <col min="12300" max="12300" width="37.28515625" style="23" customWidth="1"/>
    <col min="12301" max="12301" width="13.5703125" style="23" customWidth="1"/>
    <col min="12302" max="12302" width="15" style="23" customWidth="1"/>
    <col min="12303" max="12544" width="9.140625" style="23"/>
    <col min="12545" max="12545" width="11" style="23" bestFit="1" customWidth="1"/>
    <col min="12546" max="12546" width="14.85546875" style="23" customWidth="1"/>
    <col min="12547" max="12547" width="13.7109375" style="23" customWidth="1"/>
    <col min="12548" max="12548" width="9.5703125" style="23" customWidth="1"/>
    <col min="12549" max="12549" width="7.5703125" style="23" customWidth="1"/>
    <col min="12550" max="12550" width="7.28515625" style="23" customWidth="1"/>
    <col min="12551" max="12551" width="16.28515625" style="23" customWidth="1"/>
    <col min="12552" max="12552" width="0" style="23" hidden="1" customWidth="1"/>
    <col min="12553" max="12553" width="15.42578125" style="23" customWidth="1"/>
    <col min="12554" max="12554" width="0" style="23" hidden="1" customWidth="1"/>
    <col min="12555" max="12555" width="9.140625" style="23"/>
    <col min="12556" max="12556" width="37.28515625" style="23" customWidth="1"/>
    <col min="12557" max="12557" width="13.5703125" style="23" customWidth="1"/>
    <col min="12558" max="12558" width="15" style="23" customWidth="1"/>
    <col min="12559" max="12800" width="9.140625" style="23"/>
    <col min="12801" max="12801" width="11" style="23" bestFit="1" customWidth="1"/>
    <col min="12802" max="12802" width="14.85546875" style="23" customWidth="1"/>
    <col min="12803" max="12803" width="13.7109375" style="23" customWidth="1"/>
    <col min="12804" max="12804" width="9.5703125" style="23" customWidth="1"/>
    <col min="12805" max="12805" width="7.5703125" style="23" customWidth="1"/>
    <col min="12806" max="12806" width="7.28515625" style="23" customWidth="1"/>
    <col min="12807" max="12807" width="16.28515625" style="23" customWidth="1"/>
    <col min="12808" max="12808" width="0" style="23" hidden="1" customWidth="1"/>
    <col min="12809" max="12809" width="15.42578125" style="23" customWidth="1"/>
    <col min="12810" max="12810" width="0" style="23" hidden="1" customWidth="1"/>
    <col min="12811" max="12811" width="9.140625" style="23"/>
    <col min="12812" max="12812" width="37.28515625" style="23" customWidth="1"/>
    <col min="12813" max="12813" width="13.5703125" style="23" customWidth="1"/>
    <col min="12814" max="12814" width="15" style="23" customWidth="1"/>
    <col min="12815" max="13056" width="9.140625" style="23"/>
    <col min="13057" max="13057" width="11" style="23" bestFit="1" customWidth="1"/>
    <col min="13058" max="13058" width="14.85546875" style="23" customWidth="1"/>
    <col min="13059" max="13059" width="13.7109375" style="23" customWidth="1"/>
    <col min="13060" max="13060" width="9.5703125" style="23" customWidth="1"/>
    <col min="13061" max="13061" width="7.5703125" style="23" customWidth="1"/>
    <col min="13062" max="13062" width="7.28515625" style="23" customWidth="1"/>
    <col min="13063" max="13063" width="16.28515625" style="23" customWidth="1"/>
    <col min="13064" max="13064" width="0" style="23" hidden="1" customWidth="1"/>
    <col min="13065" max="13065" width="15.42578125" style="23" customWidth="1"/>
    <col min="13066" max="13066" width="0" style="23" hidden="1" customWidth="1"/>
    <col min="13067" max="13067" width="9.140625" style="23"/>
    <col min="13068" max="13068" width="37.28515625" style="23" customWidth="1"/>
    <col min="13069" max="13069" width="13.5703125" style="23" customWidth="1"/>
    <col min="13070" max="13070" width="15" style="23" customWidth="1"/>
    <col min="13071" max="13312" width="9.140625" style="23"/>
    <col min="13313" max="13313" width="11" style="23" bestFit="1" customWidth="1"/>
    <col min="13314" max="13314" width="14.85546875" style="23" customWidth="1"/>
    <col min="13315" max="13315" width="13.7109375" style="23" customWidth="1"/>
    <col min="13316" max="13316" width="9.5703125" style="23" customWidth="1"/>
    <col min="13317" max="13317" width="7.5703125" style="23" customWidth="1"/>
    <col min="13318" max="13318" width="7.28515625" style="23" customWidth="1"/>
    <col min="13319" max="13319" width="16.28515625" style="23" customWidth="1"/>
    <col min="13320" max="13320" width="0" style="23" hidden="1" customWidth="1"/>
    <col min="13321" max="13321" width="15.42578125" style="23" customWidth="1"/>
    <col min="13322" max="13322" width="0" style="23" hidden="1" customWidth="1"/>
    <col min="13323" max="13323" width="9.140625" style="23"/>
    <col min="13324" max="13324" width="37.28515625" style="23" customWidth="1"/>
    <col min="13325" max="13325" width="13.5703125" style="23" customWidth="1"/>
    <col min="13326" max="13326" width="15" style="23" customWidth="1"/>
    <col min="13327" max="13568" width="9.140625" style="23"/>
    <col min="13569" max="13569" width="11" style="23" bestFit="1" customWidth="1"/>
    <col min="13570" max="13570" width="14.85546875" style="23" customWidth="1"/>
    <col min="13571" max="13571" width="13.7109375" style="23" customWidth="1"/>
    <col min="13572" max="13572" width="9.5703125" style="23" customWidth="1"/>
    <col min="13573" max="13573" width="7.5703125" style="23" customWidth="1"/>
    <col min="13574" max="13574" width="7.28515625" style="23" customWidth="1"/>
    <col min="13575" max="13575" width="16.28515625" style="23" customWidth="1"/>
    <col min="13576" max="13576" width="0" style="23" hidden="1" customWidth="1"/>
    <col min="13577" max="13577" width="15.42578125" style="23" customWidth="1"/>
    <col min="13578" max="13578" width="0" style="23" hidden="1" customWidth="1"/>
    <col min="13579" max="13579" width="9.140625" style="23"/>
    <col min="13580" max="13580" width="37.28515625" style="23" customWidth="1"/>
    <col min="13581" max="13581" width="13.5703125" style="23" customWidth="1"/>
    <col min="13582" max="13582" width="15" style="23" customWidth="1"/>
    <col min="13583" max="13824" width="9.140625" style="23"/>
    <col min="13825" max="13825" width="11" style="23" bestFit="1" customWidth="1"/>
    <col min="13826" max="13826" width="14.85546875" style="23" customWidth="1"/>
    <col min="13827" max="13827" width="13.7109375" style="23" customWidth="1"/>
    <col min="13828" max="13828" width="9.5703125" style="23" customWidth="1"/>
    <col min="13829" max="13829" width="7.5703125" style="23" customWidth="1"/>
    <col min="13830" max="13830" width="7.28515625" style="23" customWidth="1"/>
    <col min="13831" max="13831" width="16.28515625" style="23" customWidth="1"/>
    <col min="13832" max="13832" width="0" style="23" hidden="1" customWidth="1"/>
    <col min="13833" max="13833" width="15.42578125" style="23" customWidth="1"/>
    <col min="13834" max="13834" width="0" style="23" hidden="1" customWidth="1"/>
    <col min="13835" max="13835" width="9.140625" style="23"/>
    <col min="13836" max="13836" width="37.28515625" style="23" customWidth="1"/>
    <col min="13837" max="13837" width="13.5703125" style="23" customWidth="1"/>
    <col min="13838" max="13838" width="15" style="23" customWidth="1"/>
    <col min="13839" max="14080" width="9.140625" style="23"/>
    <col min="14081" max="14081" width="11" style="23" bestFit="1" customWidth="1"/>
    <col min="14082" max="14082" width="14.85546875" style="23" customWidth="1"/>
    <col min="14083" max="14083" width="13.7109375" style="23" customWidth="1"/>
    <col min="14084" max="14084" width="9.5703125" style="23" customWidth="1"/>
    <col min="14085" max="14085" width="7.5703125" style="23" customWidth="1"/>
    <col min="14086" max="14086" width="7.28515625" style="23" customWidth="1"/>
    <col min="14087" max="14087" width="16.28515625" style="23" customWidth="1"/>
    <col min="14088" max="14088" width="0" style="23" hidden="1" customWidth="1"/>
    <col min="14089" max="14089" width="15.42578125" style="23" customWidth="1"/>
    <col min="14090" max="14090" width="0" style="23" hidden="1" customWidth="1"/>
    <col min="14091" max="14091" width="9.140625" style="23"/>
    <col min="14092" max="14092" width="37.28515625" style="23" customWidth="1"/>
    <col min="14093" max="14093" width="13.5703125" style="23" customWidth="1"/>
    <col min="14094" max="14094" width="15" style="23" customWidth="1"/>
    <col min="14095" max="14336" width="9.140625" style="23"/>
    <col min="14337" max="14337" width="11" style="23" bestFit="1" customWidth="1"/>
    <col min="14338" max="14338" width="14.85546875" style="23" customWidth="1"/>
    <col min="14339" max="14339" width="13.7109375" style="23" customWidth="1"/>
    <col min="14340" max="14340" width="9.5703125" style="23" customWidth="1"/>
    <col min="14341" max="14341" width="7.5703125" style="23" customWidth="1"/>
    <col min="14342" max="14342" width="7.28515625" style="23" customWidth="1"/>
    <col min="14343" max="14343" width="16.28515625" style="23" customWidth="1"/>
    <col min="14344" max="14344" width="0" style="23" hidden="1" customWidth="1"/>
    <col min="14345" max="14345" width="15.42578125" style="23" customWidth="1"/>
    <col min="14346" max="14346" width="0" style="23" hidden="1" customWidth="1"/>
    <col min="14347" max="14347" width="9.140625" style="23"/>
    <col min="14348" max="14348" width="37.28515625" style="23" customWidth="1"/>
    <col min="14349" max="14349" width="13.5703125" style="23" customWidth="1"/>
    <col min="14350" max="14350" width="15" style="23" customWidth="1"/>
    <col min="14351" max="14592" width="9.140625" style="23"/>
    <col min="14593" max="14593" width="11" style="23" bestFit="1" customWidth="1"/>
    <col min="14594" max="14594" width="14.85546875" style="23" customWidth="1"/>
    <col min="14595" max="14595" width="13.7109375" style="23" customWidth="1"/>
    <col min="14596" max="14596" width="9.5703125" style="23" customWidth="1"/>
    <col min="14597" max="14597" width="7.5703125" style="23" customWidth="1"/>
    <col min="14598" max="14598" width="7.28515625" style="23" customWidth="1"/>
    <col min="14599" max="14599" width="16.28515625" style="23" customWidth="1"/>
    <col min="14600" max="14600" width="0" style="23" hidden="1" customWidth="1"/>
    <col min="14601" max="14601" width="15.42578125" style="23" customWidth="1"/>
    <col min="14602" max="14602" width="0" style="23" hidden="1" customWidth="1"/>
    <col min="14603" max="14603" width="9.140625" style="23"/>
    <col min="14604" max="14604" width="37.28515625" style="23" customWidth="1"/>
    <col min="14605" max="14605" width="13.5703125" style="23" customWidth="1"/>
    <col min="14606" max="14606" width="15" style="23" customWidth="1"/>
    <col min="14607" max="14848" width="9.140625" style="23"/>
    <col min="14849" max="14849" width="11" style="23" bestFit="1" customWidth="1"/>
    <col min="14850" max="14850" width="14.85546875" style="23" customWidth="1"/>
    <col min="14851" max="14851" width="13.7109375" style="23" customWidth="1"/>
    <col min="14852" max="14852" width="9.5703125" style="23" customWidth="1"/>
    <col min="14853" max="14853" width="7.5703125" style="23" customWidth="1"/>
    <col min="14854" max="14854" width="7.28515625" style="23" customWidth="1"/>
    <col min="14855" max="14855" width="16.28515625" style="23" customWidth="1"/>
    <col min="14856" max="14856" width="0" style="23" hidden="1" customWidth="1"/>
    <col min="14857" max="14857" width="15.42578125" style="23" customWidth="1"/>
    <col min="14858" max="14858" width="0" style="23" hidden="1" customWidth="1"/>
    <col min="14859" max="14859" width="9.140625" style="23"/>
    <col min="14860" max="14860" width="37.28515625" style="23" customWidth="1"/>
    <col min="14861" max="14861" width="13.5703125" style="23" customWidth="1"/>
    <col min="14862" max="14862" width="15" style="23" customWidth="1"/>
    <col min="14863" max="15104" width="9.140625" style="23"/>
    <col min="15105" max="15105" width="11" style="23" bestFit="1" customWidth="1"/>
    <col min="15106" max="15106" width="14.85546875" style="23" customWidth="1"/>
    <col min="15107" max="15107" width="13.7109375" style="23" customWidth="1"/>
    <col min="15108" max="15108" width="9.5703125" style="23" customWidth="1"/>
    <col min="15109" max="15109" width="7.5703125" style="23" customWidth="1"/>
    <col min="15110" max="15110" width="7.28515625" style="23" customWidth="1"/>
    <col min="15111" max="15111" width="16.28515625" style="23" customWidth="1"/>
    <col min="15112" max="15112" width="0" style="23" hidden="1" customWidth="1"/>
    <col min="15113" max="15113" width="15.42578125" style="23" customWidth="1"/>
    <col min="15114" max="15114" width="0" style="23" hidden="1" customWidth="1"/>
    <col min="15115" max="15115" width="9.140625" style="23"/>
    <col min="15116" max="15116" width="37.28515625" style="23" customWidth="1"/>
    <col min="15117" max="15117" width="13.5703125" style="23" customWidth="1"/>
    <col min="15118" max="15118" width="15" style="23" customWidth="1"/>
    <col min="15119" max="15360" width="9.140625" style="23"/>
    <col min="15361" max="15361" width="11" style="23" bestFit="1" customWidth="1"/>
    <col min="15362" max="15362" width="14.85546875" style="23" customWidth="1"/>
    <col min="15363" max="15363" width="13.7109375" style="23" customWidth="1"/>
    <col min="15364" max="15364" width="9.5703125" style="23" customWidth="1"/>
    <col min="15365" max="15365" width="7.5703125" style="23" customWidth="1"/>
    <col min="15366" max="15366" width="7.28515625" style="23" customWidth="1"/>
    <col min="15367" max="15367" width="16.28515625" style="23" customWidth="1"/>
    <col min="15368" max="15368" width="0" style="23" hidden="1" customWidth="1"/>
    <col min="15369" max="15369" width="15.42578125" style="23" customWidth="1"/>
    <col min="15370" max="15370" width="0" style="23" hidden="1" customWidth="1"/>
    <col min="15371" max="15371" width="9.140625" style="23"/>
    <col min="15372" max="15372" width="37.28515625" style="23" customWidth="1"/>
    <col min="15373" max="15373" width="13.5703125" style="23" customWidth="1"/>
    <col min="15374" max="15374" width="15" style="23" customWidth="1"/>
    <col min="15375" max="15616" width="9.140625" style="23"/>
    <col min="15617" max="15617" width="11" style="23" bestFit="1" customWidth="1"/>
    <col min="15618" max="15618" width="14.85546875" style="23" customWidth="1"/>
    <col min="15619" max="15619" width="13.7109375" style="23" customWidth="1"/>
    <col min="15620" max="15620" width="9.5703125" style="23" customWidth="1"/>
    <col min="15621" max="15621" width="7.5703125" style="23" customWidth="1"/>
    <col min="15622" max="15622" width="7.28515625" style="23" customWidth="1"/>
    <col min="15623" max="15623" width="16.28515625" style="23" customWidth="1"/>
    <col min="15624" max="15624" width="0" style="23" hidden="1" customWidth="1"/>
    <col min="15625" max="15625" width="15.42578125" style="23" customWidth="1"/>
    <col min="15626" max="15626" width="0" style="23" hidden="1" customWidth="1"/>
    <col min="15627" max="15627" width="9.140625" style="23"/>
    <col min="15628" max="15628" width="37.28515625" style="23" customWidth="1"/>
    <col min="15629" max="15629" width="13.5703125" style="23" customWidth="1"/>
    <col min="15630" max="15630" width="15" style="23" customWidth="1"/>
    <col min="15631" max="15872" width="9.140625" style="23"/>
    <col min="15873" max="15873" width="11" style="23" bestFit="1" customWidth="1"/>
    <col min="15874" max="15874" width="14.85546875" style="23" customWidth="1"/>
    <col min="15875" max="15875" width="13.7109375" style="23" customWidth="1"/>
    <col min="15876" max="15876" width="9.5703125" style="23" customWidth="1"/>
    <col min="15877" max="15877" width="7.5703125" style="23" customWidth="1"/>
    <col min="15878" max="15878" width="7.28515625" style="23" customWidth="1"/>
    <col min="15879" max="15879" width="16.28515625" style="23" customWidth="1"/>
    <col min="15880" max="15880" width="0" style="23" hidden="1" customWidth="1"/>
    <col min="15881" max="15881" width="15.42578125" style="23" customWidth="1"/>
    <col min="15882" max="15882" width="0" style="23" hidden="1" customWidth="1"/>
    <col min="15883" max="15883" width="9.140625" style="23"/>
    <col min="15884" max="15884" width="37.28515625" style="23" customWidth="1"/>
    <col min="15885" max="15885" width="13.5703125" style="23" customWidth="1"/>
    <col min="15886" max="15886" width="15" style="23" customWidth="1"/>
    <col min="15887" max="16128" width="9.140625" style="23"/>
    <col min="16129" max="16129" width="11" style="23" bestFit="1" customWidth="1"/>
    <col min="16130" max="16130" width="14.85546875" style="23" customWidth="1"/>
    <col min="16131" max="16131" width="13.7109375" style="23" customWidth="1"/>
    <col min="16132" max="16132" width="9.5703125" style="23" customWidth="1"/>
    <col min="16133" max="16133" width="7.5703125" style="23" customWidth="1"/>
    <col min="16134" max="16134" width="7.28515625" style="23" customWidth="1"/>
    <col min="16135" max="16135" width="16.28515625" style="23" customWidth="1"/>
    <col min="16136" max="16136" width="0" style="23" hidden="1" customWidth="1"/>
    <col min="16137" max="16137" width="15.42578125" style="23" customWidth="1"/>
    <col min="16138" max="16138" width="0" style="23" hidden="1" customWidth="1"/>
    <col min="16139" max="16139" width="9.140625" style="23"/>
    <col min="16140" max="16140" width="37.28515625" style="23" customWidth="1"/>
    <col min="16141" max="16141" width="13.5703125" style="23" customWidth="1"/>
    <col min="16142" max="16142" width="15" style="23" customWidth="1"/>
    <col min="16143" max="16384" width="9.140625" style="23"/>
  </cols>
  <sheetData>
    <row r="1" spans="1:14" ht="15" customHeight="1" x14ac:dyDescent="0.25">
      <c r="A1" s="179" t="s">
        <v>0</v>
      </c>
      <c r="B1" s="179"/>
      <c r="C1" s="179"/>
      <c r="D1" s="179"/>
      <c r="E1" s="179"/>
      <c r="F1" s="179"/>
      <c r="G1" s="179"/>
      <c r="H1" s="179"/>
      <c r="I1" s="179"/>
      <c r="J1" s="20"/>
      <c r="K1" s="129" t="str">
        <f>'MCARE A'!K1</f>
        <v>Total Physical Therapy</v>
      </c>
      <c r="L1" s="129"/>
      <c r="M1" s="156">
        <f>'MCARE A'!M1</f>
        <v>0</v>
      </c>
    </row>
    <row r="2" spans="1:14" ht="15" customHeight="1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129" t="str">
        <f>'MCARE A'!K2</f>
        <v>Total Occupational Therapy</v>
      </c>
      <c r="L2" s="129"/>
      <c r="M2" s="136">
        <f>'MCARE A'!M2</f>
        <v>0</v>
      </c>
    </row>
    <row r="3" spans="1:14" ht="15.75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129" t="str">
        <f>'MCARE A'!K3</f>
        <v>Total Speech Therapy</v>
      </c>
      <c r="L3" s="129"/>
      <c r="M3" s="136">
        <f>'MCARE A'!M3</f>
        <v>0</v>
      </c>
    </row>
    <row r="4" spans="1:14" ht="12.75" customHeight="1" x14ac:dyDescent="0.2">
      <c r="A4" s="23" t="s">
        <v>149</v>
      </c>
      <c r="B4" s="25"/>
      <c r="C4" s="25"/>
      <c r="D4" s="25"/>
      <c r="G4" s="23" t="s">
        <v>61</v>
      </c>
      <c r="I4" s="130"/>
      <c r="K4" s="23" t="str">
        <f>'MCARE A'!K4</f>
        <v>Medicare A Totals</v>
      </c>
    </row>
    <row r="5" spans="1:14" ht="12.75" customHeight="1" x14ac:dyDescent="0.2">
      <c r="A5" s="23" t="s">
        <v>122</v>
      </c>
      <c r="B5" s="25"/>
      <c r="C5" s="25"/>
      <c r="D5" s="25"/>
      <c r="G5" s="23" t="s">
        <v>62</v>
      </c>
      <c r="I5" s="116"/>
      <c r="M5" s="133"/>
      <c r="N5" s="132">
        <f>SUM(M1:M3)</f>
        <v>0</v>
      </c>
    </row>
    <row r="6" spans="1:14" ht="12.75" customHeight="1" thickBot="1" x14ac:dyDescent="0.25">
      <c r="A6" s="23" t="s">
        <v>150</v>
      </c>
      <c r="B6" s="25"/>
      <c r="C6" s="25"/>
      <c r="D6" s="25"/>
      <c r="G6" s="8" t="s">
        <v>63</v>
      </c>
      <c r="I6" s="116"/>
      <c r="K6" s="129" t="str">
        <f>'MCARE B'!K1</f>
        <v>Total Physical Therapy</v>
      </c>
      <c r="L6" s="129"/>
      <c r="M6" s="136">
        <f>'MCARE B'!N1</f>
        <v>0</v>
      </c>
    </row>
    <row r="7" spans="1:14" ht="12.75" customHeight="1" thickBot="1" x14ac:dyDescent="0.25">
      <c r="A7" s="23" t="s">
        <v>151</v>
      </c>
      <c r="B7" s="25"/>
      <c r="C7" s="25"/>
      <c r="D7" s="25"/>
      <c r="G7" s="8" t="s">
        <v>28</v>
      </c>
      <c r="I7" s="105">
        <f>+G42</f>
        <v>0</v>
      </c>
      <c r="K7" s="129" t="str">
        <f>'MCARE B'!K2</f>
        <v>Total Occupational Therapy</v>
      </c>
      <c r="L7" s="129"/>
      <c r="M7" s="136">
        <f>'MCARE B'!N2</f>
        <v>0</v>
      </c>
    </row>
    <row r="8" spans="1:14" ht="12.75" customHeight="1" x14ac:dyDescent="0.2">
      <c r="G8" s="8"/>
      <c r="I8" s="54"/>
      <c r="K8" s="129" t="str">
        <f>'MCARE B'!K3</f>
        <v>Total Speech Therapy</v>
      </c>
      <c r="L8" s="129"/>
      <c r="M8" s="136">
        <f>'MCARE B'!N3</f>
        <v>0</v>
      </c>
    </row>
    <row r="9" spans="1:14" ht="12.75" customHeight="1" x14ac:dyDescent="0.2">
      <c r="A9" s="8" t="s">
        <v>64</v>
      </c>
      <c r="C9" s="8" t="s">
        <v>65</v>
      </c>
      <c r="G9" s="12" t="s">
        <v>21</v>
      </c>
      <c r="I9" s="54"/>
      <c r="K9" s="23" t="str">
        <f>'MCARE B'!K5</f>
        <v>Medicare B Grand Total</v>
      </c>
    </row>
    <row r="10" spans="1:14" ht="12.75" customHeight="1" x14ac:dyDescent="0.2">
      <c r="C10" s="8"/>
      <c r="G10" s="8"/>
      <c r="I10" s="54"/>
      <c r="M10" s="133"/>
      <c r="N10" s="132">
        <f>SUM(M6:M8)</f>
        <v>0</v>
      </c>
    </row>
    <row r="11" spans="1:14" ht="12.75" customHeight="1" x14ac:dyDescent="0.2">
      <c r="A11" s="27" t="s">
        <v>66</v>
      </c>
      <c r="C11" s="8" t="s">
        <v>67</v>
      </c>
      <c r="G11" s="106">
        <f>+M1</f>
        <v>0</v>
      </c>
      <c r="I11" s="54"/>
      <c r="K11" s="129" t="str">
        <f>OTHER!K1</f>
        <v>Total Physical Therapy - Medicaid</v>
      </c>
      <c r="L11" s="129"/>
      <c r="M11" s="136">
        <f>OTHER!O1</f>
        <v>0</v>
      </c>
    </row>
    <row r="12" spans="1:14" ht="12.75" customHeight="1" x14ac:dyDescent="0.2">
      <c r="A12" s="27" t="s">
        <v>68</v>
      </c>
      <c r="C12" s="8" t="s">
        <v>69</v>
      </c>
      <c r="G12" s="106">
        <f>+M6</f>
        <v>0</v>
      </c>
      <c r="I12" s="54"/>
      <c r="K12" s="129" t="str">
        <f>OTHER!K2</f>
        <v>Total Physical Therapy -  Ins/HMO minutes</v>
      </c>
      <c r="L12" s="129"/>
      <c r="M12" s="156">
        <f>OTHER!O2</f>
        <v>0</v>
      </c>
    </row>
    <row r="13" spans="1:14" ht="12.75" customHeight="1" x14ac:dyDescent="0.2">
      <c r="A13" s="27" t="s">
        <v>70</v>
      </c>
      <c r="C13" s="8" t="s">
        <v>71</v>
      </c>
      <c r="D13" s="134"/>
      <c r="G13" s="106">
        <f>+M11</f>
        <v>0</v>
      </c>
      <c r="I13" s="54"/>
      <c r="K13" s="129" t="str">
        <f>OTHER!K3</f>
        <v>Total Physical Therapy -  Ins/HMO units</v>
      </c>
      <c r="L13" s="129"/>
      <c r="M13" s="136">
        <f>OTHER!O3</f>
        <v>0</v>
      </c>
    </row>
    <row r="14" spans="1:14" ht="12.75" customHeight="1" x14ac:dyDescent="0.2">
      <c r="A14" s="27" t="s">
        <v>107</v>
      </c>
      <c r="C14" s="8" t="s">
        <v>72</v>
      </c>
      <c r="G14" s="106">
        <f>M12+M13</f>
        <v>0</v>
      </c>
      <c r="I14" s="54"/>
      <c r="K14" s="129" t="str">
        <f>OTHER!K4</f>
        <v>Total Physical Therapy - Private Pay</v>
      </c>
      <c r="L14" s="129"/>
      <c r="M14" s="136">
        <f>OTHER!O4</f>
        <v>0</v>
      </c>
    </row>
    <row r="15" spans="1:14" ht="12.75" customHeight="1" x14ac:dyDescent="0.2">
      <c r="A15" s="27" t="s">
        <v>73</v>
      </c>
      <c r="C15" s="8" t="s">
        <v>74</v>
      </c>
      <c r="G15" s="106">
        <f>+M14</f>
        <v>0</v>
      </c>
      <c r="I15" s="54"/>
      <c r="K15" s="129" t="str">
        <f>OTHER!K5</f>
        <v>Total Occupational Therapy - Medicaid</v>
      </c>
      <c r="L15" s="129"/>
      <c r="M15" s="136">
        <f>OTHER!O5</f>
        <v>0</v>
      </c>
    </row>
    <row r="16" spans="1:14" ht="12.75" customHeight="1" x14ac:dyDescent="0.2">
      <c r="C16" s="8"/>
      <c r="G16" s="106"/>
      <c r="I16" s="54"/>
      <c r="K16" s="129" t="str">
        <f>OTHER!K6</f>
        <v>Total Occupational Therapy -  Ins/HMO minutes</v>
      </c>
      <c r="L16" s="129"/>
      <c r="M16" s="136">
        <f>OTHER!O6</f>
        <v>0</v>
      </c>
    </row>
    <row r="17" spans="1:14" ht="12.75" customHeight="1" thickBot="1" x14ac:dyDescent="0.25">
      <c r="C17" s="8"/>
      <c r="F17" s="107" t="s">
        <v>75</v>
      </c>
      <c r="G17" s="108">
        <f>SUM(G11:G16)</f>
        <v>0</v>
      </c>
      <c r="I17" s="54"/>
      <c r="K17" s="129" t="str">
        <f>OTHER!K7</f>
        <v>Total Occupational Therapy -  Ins/HMO units</v>
      </c>
      <c r="L17" s="129"/>
      <c r="M17" s="136">
        <f>OTHER!O7</f>
        <v>0</v>
      </c>
    </row>
    <row r="18" spans="1:14" ht="12.75" customHeight="1" thickTop="1" x14ac:dyDescent="0.2">
      <c r="C18" s="8"/>
      <c r="G18" s="8"/>
      <c r="I18" s="54"/>
      <c r="K18" s="129" t="str">
        <f>OTHER!K8</f>
        <v>Total Occupational Therapy - Private Pay</v>
      </c>
      <c r="L18" s="129"/>
      <c r="M18" s="136">
        <f>OTHER!O8</f>
        <v>0</v>
      </c>
    </row>
    <row r="19" spans="1:14" ht="12.75" customHeight="1" x14ac:dyDescent="0.2">
      <c r="A19" s="8" t="s">
        <v>76</v>
      </c>
      <c r="C19" s="8"/>
      <c r="G19" s="8"/>
      <c r="I19" s="54"/>
      <c r="K19" s="129" t="str">
        <f>OTHER!K9</f>
        <v>Total Speech Therapy - Medicaid</v>
      </c>
      <c r="L19" s="129"/>
      <c r="M19" s="136">
        <f>OTHER!O9</f>
        <v>0</v>
      </c>
    </row>
    <row r="20" spans="1:14" ht="12.95" customHeight="1" x14ac:dyDescent="0.2">
      <c r="C20" s="8"/>
      <c r="G20" s="8"/>
      <c r="I20" s="54"/>
      <c r="K20" s="129" t="str">
        <f>OTHER!K10</f>
        <v>Total Speech Therapy -  Ins/HMO minutes</v>
      </c>
      <c r="L20" s="129"/>
      <c r="M20" s="136">
        <f>OTHER!O10</f>
        <v>0</v>
      </c>
    </row>
    <row r="21" spans="1:14" ht="12.75" customHeight="1" x14ac:dyDescent="0.2">
      <c r="A21" s="27" t="s">
        <v>66</v>
      </c>
      <c r="C21" s="8" t="s">
        <v>77</v>
      </c>
      <c r="G21" s="106">
        <f>+M2</f>
        <v>0</v>
      </c>
      <c r="I21" s="54"/>
      <c r="K21" s="129" t="str">
        <f>OTHER!K11</f>
        <v>Total Speech Therapy -  Ins/HMO units</v>
      </c>
      <c r="L21" s="129"/>
      <c r="M21" s="136">
        <f>OTHER!O11</f>
        <v>0</v>
      </c>
    </row>
    <row r="22" spans="1:14" ht="12.75" customHeight="1" x14ac:dyDescent="0.2">
      <c r="A22" s="27" t="s">
        <v>68</v>
      </c>
      <c r="C22" s="8" t="s">
        <v>78</v>
      </c>
      <c r="G22" s="106">
        <f>+M7</f>
        <v>0</v>
      </c>
      <c r="I22" s="54"/>
      <c r="K22" s="129" t="str">
        <f>OTHER!K12</f>
        <v>Total Speech Therapy - Private Pay</v>
      </c>
      <c r="L22" s="129"/>
      <c r="M22" s="136">
        <f>OTHER!O12</f>
        <v>0</v>
      </c>
    </row>
    <row r="23" spans="1:14" ht="12.75" customHeight="1" x14ac:dyDescent="0.2">
      <c r="A23" s="27" t="s">
        <v>70</v>
      </c>
      <c r="C23" s="8" t="s">
        <v>80</v>
      </c>
      <c r="G23" s="106">
        <f>+M15</f>
        <v>0</v>
      </c>
      <c r="I23" s="54"/>
      <c r="K23" s="153" t="s">
        <v>79</v>
      </c>
      <c r="L23" s="129"/>
      <c r="M23" s="136">
        <f>OTHER!O13</f>
        <v>0</v>
      </c>
    </row>
    <row r="24" spans="1:14" ht="12.75" customHeight="1" x14ac:dyDescent="0.2">
      <c r="A24" s="27" t="s">
        <v>107</v>
      </c>
      <c r="C24" s="8" t="s">
        <v>81</v>
      </c>
      <c r="G24" s="106">
        <f>M16+M17</f>
        <v>0</v>
      </c>
      <c r="I24" s="54"/>
      <c r="K24" s="123"/>
      <c r="L24" s="123"/>
      <c r="M24" s="154"/>
      <c r="N24" s="135">
        <f>SUM(M11:M23)</f>
        <v>0</v>
      </c>
    </row>
    <row r="25" spans="1:14" ht="12.75" customHeight="1" x14ac:dyDescent="0.2">
      <c r="A25" s="27" t="s">
        <v>73</v>
      </c>
      <c r="C25" s="8" t="s">
        <v>82</v>
      </c>
      <c r="G25" s="106">
        <f>+M18</f>
        <v>0</v>
      </c>
      <c r="I25" s="54"/>
      <c r="K25" s="123"/>
      <c r="L25" s="123"/>
      <c r="M25" s="154"/>
    </row>
    <row r="26" spans="1:14" ht="12.75" customHeight="1" thickBot="1" x14ac:dyDescent="0.25">
      <c r="C26" s="8"/>
      <c r="G26" s="106"/>
      <c r="I26" s="54"/>
      <c r="M26" s="109" t="s">
        <v>44</v>
      </c>
      <c r="N26" s="110">
        <f>SUM(N1:N25)</f>
        <v>0</v>
      </c>
    </row>
    <row r="27" spans="1:14" ht="12.75" customHeight="1" thickTop="1" thickBot="1" x14ac:dyDescent="0.25">
      <c r="C27" s="8"/>
      <c r="F27" s="107" t="s">
        <v>83</v>
      </c>
      <c r="G27" s="108">
        <f>SUM(G21:G26)</f>
        <v>0</v>
      </c>
      <c r="I27" s="54"/>
    </row>
    <row r="28" spans="1:14" ht="12.75" customHeight="1" thickTop="1" x14ac:dyDescent="0.2">
      <c r="C28" s="8"/>
      <c r="G28" s="8"/>
      <c r="I28" s="54"/>
    </row>
    <row r="29" spans="1:14" ht="12.75" customHeight="1" x14ac:dyDescent="0.2">
      <c r="A29" s="8" t="s">
        <v>84</v>
      </c>
      <c r="C29" s="8"/>
      <c r="G29" s="8"/>
      <c r="I29" s="54"/>
    </row>
    <row r="30" spans="1:14" ht="12.75" customHeight="1" x14ac:dyDescent="0.2">
      <c r="C30" s="8"/>
      <c r="G30" s="8"/>
      <c r="I30" s="54"/>
    </row>
    <row r="31" spans="1:14" ht="12.95" customHeight="1" x14ac:dyDescent="0.2">
      <c r="A31" s="27" t="s">
        <v>66</v>
      </c>
      <c r="C31" s="8" t="s">
        <v>85</v>
      </c>
      <c r="G31" s="106">
        <f>+M3</f>
        <v>0</v>
      </c>
      <c r="I31" s="54"/>
    </row>
    <row r="32" spans="1:14" ht="12.75" customHeight="1" x14ac:dyDescent="0.2">
      <c r="A32" s="27" t="s">
        <v>68</v>
      </c>
      <c r="C32" s="8" t="s">
        <v>86</v>
      </c>
      <c r="G32" s="106">
        <f>+M8</f>
        <v>0</v>
      </c>
      <c r="I32" s="54"/>
    </row>
    <row r="33" spans="1:11" ht="12.75" customHeight="1" x14ac:dyDescent="0.2">
      <c r="A33" s="27" t="s">
        <v>70</v>
      </c>
      <c r="C33" s="8" t="s">
        <v>87</v>
      </c>
      <c r="G33" s="106">
        <f>+M19</f>
        <v>0</v>
      </c>
      <c r="I33" s="54"/>
    </row>
    <row r="34" spans="1:11" ht="12.75" customHeight="1" x14ac:dyDescent="0.2">
      <c r="A34" s="27" t="s">
        <v>107</v>
      </c>
      <c r="C34" s="8" t="s">
        <v>88</v>
      </c>
      <c r="G34" s="106">
        <f>+M20+M21</f>
        <v>0</v>
      </c>
      <c r="I34" s="54"/>
      <c r="K34" s="134"/>
    </row>
    <row r="35" spans="1:11" ht="12.75" customHeight="1" x14ac:dyDescent="0.2">
      <c r="A35" s="27" t="s">
        <v>73</v>
      </c>
      <c r="C35" s="8" t="s">
        <v>89</v>
      </c>
      <c r="F35" s="67"/>
      <c r="G35" s="106">
        <f>+M22</f>
        <v>0</v>
      </c>
      <c r="I35" s="54"/>
    </row>
    <row r="36" spans="1:11" ht="12.75" customHeight="1" x14ac:dyDescent="0.2">
      <c r="C36" s="8"/>
      <c r="F36" s="67"/>
      <c r="G36" s="106"/>
      <c r="I36" s="54"/>
    </row>
    <row r="37" spans="1:11" ht="12.75" customHeight="1" thickBot="1" x14ac:dyDescent="0.25">
      <c r="F37" s="107" t="s">
        <v>90</v>
      </c>
      <c r="G37" s="108">
        <f>SUM(G31:G36)</f>
        <v>0</v>
      </c>
      <c r="I37" s="54"/>
    </row>
    <row r="38" spans="1:11" ht="12.75" customHeight="1" thickTop="1" x14ac:dyDescent="0.2">
      <c r="I38" s="54"/>
    </row>
    <row r="39" spans="1:11" ht="12.75" customHeight="1" thickBot="1" x14ac:dyDescent="0.25">
      <c r="F39" s="107" t="s">
        <v>91</v>
      </c>
      <c r="G39" s="108"/>
      <c r="I39" s="54"/>
    </row>
    <row r="40" spans="1:11" ht="12.75" customHeight="1" thickTop="1" x14ac:dyDescent="0.2">
      <c r="F40" s="67"/>
      <c r="G40" s="8"/>
      <c r="H40" s="8"/>
      <c r="I40" s="54"/>
    </row>
    <row r="41" spans="1:11" ht="12.75" customHeight="1" x14ac:dyDescent="0.2">
      <c r="F41" s="67"/>
      <c r="G41" s="111"/>
      <c r="H41" s="8"/>
      <c r="I41" s="54"/>
    </row>
    <row r="42" spans="1:11" ht="12.75" customHeight="1" thickBot="1" x14ac:dyDescent="0.25">
      <c r="F42" s="112" t="s">
        <v>44</v>
      </c>
      <c r="G42" s="108">
        <f>SUM(G39,G37,G27,G17)</f>
        <v>0</v>
      </c>
      <c r="H42" s="8"/>
      <c r="I42" s="54"/>
    </row>
    <row r="43" spans="1:11" ht="12.75" customHeight="1" thickTop="1" x14ac:dyDescent="0.2">
      <c r="A43" s="23" t="s">
        <v>92</v>
      </c>
      <c r="H43" s="8"/>
      <c r="I43" s="54"/>
    </row>
    <row r="44" spans="1:11" ht="12.75" customHeight="1" x14ac:dyDescent="0.2">
      <c r="A44" s="8" t="s">
        <v>0</v>
      </c>
      <c r="B44" s="8"/>
      <c r="C44" s="8"/>
      <c r="H44" s="8"/>
      <c r="I44" s="54"/>
    </row>
    <row r="45" spans="1:11" ht="12.75" customHeight="1" x14ac:dyDescent="0.2">
      <c r="A45" s="8" t="s">
        <v>93</v>
      </c>
      <c r="B45" s="8"/>
      <c r="C45" s="8"/>
      <c r="H45" s="8"/>
      <c r="I45" s="54"/>
    </row>
    <row r="46" spans="1:11" ht="12.75" customHeight="1" x14ac:dyDescent="0.2">
      <c r="A46" s="8" t="s">
        <v>94</v>
      </c>
      <c r="B46" s="8"/>
      <c r="C46" s="8"/>
      <c r="H46" s="8"/>
      <c r="I46" s="54"/>
    </row>
    <row r="47" spans="1:11" ht="12.75" customHeight="1" x14ac:dyDescent="0.2">
      <c r="A47" s="8" t="s">
        <v>95</v>
      </c>
      <c r="B47" s="8"/>
      <c r="C47" s="8"/>
      <c r="H47" s="8"/>
      <c r="I47" s="54"/>
    </row>
    <row r="48" spans="1:11" ht="12.75" customHeight="1" x14ac:dyDescent="0.2">
      <c r="A48" s="8" t="s">
        <v>96</v>
      </c>
      <c r="B48" s="8"/>
      <c r="C48" s="8"/>
    </row>
    <row r="49" spans="1:3" ht="12.75" customHeight="1" x14ac:dyDescent="0.2">
      <c r="A49" s="8" t="s">
        <v>97</v>
      </c>
      <c r="B49" s="8"/>
      <c r="C49" s="8" t="s">
        <v>98</v>
      </c>
    </row>
    <row r="50" spans="1:3" ht="12.75" customHeight="1" x14ac:dyDescent="0.2"/>
    <row r="51" spans="1:3" ht="12.75" customHeight="1" x14ac:dyDescent="0.2"/>
    <row r="52" spans="1:3" ht="12.75" customHeight="1" x14ac:dyDescent="0.2"/>
    <row r="53" spans="1:3" ht="12.75" customHeight="1" x14ac:dyDescent="0.2"/>
  </sheetData>
  <mergeCells count="1">
    <mergeCell ref="A1:I1"/>
  </mergeCells>
  <pageMargins left="0.7" right="0.7" top="0.75" bottom="0.75" header="0.3" footer="0.3"/>
  <pageSetup orientation="portrait" r:id="rId1"/>
  <headerFoot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6"/>
  <sheetViews>
    <sheetView zoomScaleNormal="100" workbookViewId="0">
      <selection activeCell="A7" sqref="A7"/>
    </sheetView>
  </sheetViews>
  <sheetFormatPr defaultRowHeight="14.25" x14ac:dyDescent="0.2"/>
  <cols>
    <col min="1" max="1" width="10" style="23" customWidth="1"/>
    <col min="2" max="2" width="9.140625" style="23"/>
    <col min="3" max="3" width="6.42578125" style="23" customWidth="1"/>
    <col min="4" max="4" width="21.85546875" style="23" customWidth="1"/>
    <col min="5" max="6" width="9.140625" style="23"/>
    <col min="7" max="7" width="12.140625" style="23" customWidth="1"/>
    <col min="8" max="8" width="0.140625" style="23" customWidth="1"/>
    <col min="9" max="9" width="14.5703125" style="23" customWidth="1"/>
    <col min="10" max="10" width="9.140625" style="23" hidden="1" customWidth="1"/>
    <col min="11" max="11" width="11" style="23" customWidth="1"/>
    <col min="12" max="12" width="15.140625" style="23" customWidth="1"/>
    <col min="13" max="13" width="14.42578125" style="23" customWidth="1"/>
    <col min="14" max="14" width="9.140625" style="23" customWidth="1"/>
    <col min="15" max="21" width="9.140625" style="23"/>
    <col min="22" max="22" width="12.28515625" style="23" customWidth="1"/>
    <col min="23" max="23" width="9.140625" style="23" customWidth="1"/>
    <col min="24" max="16384" width="9.140625" style="23"/>
  </cols>
  <sheetData>
    <row r="1" spans="1:21" ht="15.75" x14ac:dyDescent="0.25">
      <c r="A1" s="179" t="str">
        <f>'FRONT PAGE'!$A$1</f>
        <v>Columbine Therapy Services</v>
      </c>
      <c r="B1" s="179"/>
      <c r="C1" s="179"/>
      <c r="D1" s="179"/>
      <c r="E1" s="179"/>
      <c r="F1" s="179"/>
      <c r="G1" s="179"/>
      <c r="H1" s="179"/>
      <c r="I1" s="179"/>
      <c r="K1" s="27" t="str">
        <f>+A14</f>
        <v>Total Physical Therapy</v>
      </c>
      <c r="L1" s="27"/>
      <c r="M1" s="28">
        <f>+I14</f>
        <v>0</v>
      </c>
      <c r="Q1" s="2" t="str">
        <f>FORMULAS!K1</f>
        <v>PT</v>
      </c>
      <c r="R1" s="3">
        <v>1.7</v>
      </c>
    </row>
    <row r="2" spans="1:21" ht="15.75" x14ac:dyDescent="0.25">
      <c r="A2" s="17" t="s">
        <v>13</v>
      </c>
      <c r="B2" s="17"/>
      <c r="C2" s="17"/>
      <c r="D2" s="17"/>
      <c r="E2" s="17"/>
      <c r="F2" s="18"/>
      <c r="G2" s="17"/>
      <c r="H2" s="17"/>
      <c r="I2" s="19"/>
      <c r="K2" s="27" t="str">
        <f>+A20</f>
        <v>Total Occupational Therapy</v>
      </c>
      <c r="L2" s="27"/>
      <c r="M2" s="28">
        <f>+I20</f>
        <v>0</v>
      </c>
      <c r="Q2" s="2" t="str">
        <f>FORMULAS!K2</f>
        <v>OT</v>
      </c>
      <c r="R2" s="3">
        <v>1.7</v>
      </c>
    </row>
    <row r="3" spans="1:21" ht="15.75" x14ac:dyDescent="0.25">
      <c r="A3" s="20"/>
      <c r="B3" s="20"/>
      <c r="C3" s="20"/>
      <c r="D3" s="20"/>
      <c r="E3" s="20"/>
      <c r="F3" s="21"/>
      <c r="G3" s="20"/>
      <c r="H3" s="20"/>
      <c r="I3" s="113"/>
      <c r="K3" s="27" t="s">
        <v>14</v>
      </c>
      <c r="L3" s="27"/>
      <c r="M3" s="28">
        <f>+I27</f>
        <v>0</v>
      </c>
      <c r="Q3" s="2" t="s">
        <v>4</v>
      </c>
      <c r="R3" s="3">
        <v>1.7</v>
      </c>
    </row>
    <row r="4" spans="1:21" ht="15" thickBot="1" x14ac:dyDescent="0.25">
      <c r="A4" s="25" t="str">
        <f>'FRONT PAGE'!A4</f>
        <v>Centre Ave Rehab</v>
      </c>
      <c r="B4" s="25"/>
      <c r="C4" s="25"/>
      <c r="D4" s="25"/>
      <c r="E4" s="25"/>
      <c r="F4" s="26"/>
      <c r="G4" s="25" t="str">
        <f>'FRONT PAGE'!G4</f>
        <v>Invoice No:</v>
      </c>
      <c r="H4" s="25">
        <f>'FRONT PAGE'!H4</f>
        <v>0</v>
      </c>
      <c r="I4" s="115">
        <f>'FRONT PAGE'!$I$4</f>
        <v>0</v>
      </c>
      <c r="K4" s="27" t="s">
        <v>15</v>
      </c>
      <c r="L4" s="27"/>
      <c r="M4" s="30">
        <f>SUM(M1:M3)</f>
        <v>0</v>
      </c>
      <c r="Q4" s="8"/>
      <c r="R4" s="8"/>
    </row>
    <row r="5" spans="1:21" ht="15" thickTop="1" x14ac:dyDescent="0.2">
      <c r="A5" s="25" t="str">
        <f>'FRONT PAGE'!A5</f>
        <v>Attn: Bookkeeping</v>
      </c>
      <c r="B5" s="25"/>
      <c r="C5" s="25"/>
      <c r="D5" s="25"/>
      <c r="E5" s="25"/>
      <c r="F5" s="26"/>
      <c r="G5" s="25" t="str">
        <f>'FRONT PAGE'!G5</f>
        <v>Invoice Date:</v>
      </c>
      <c r="H5" s="25">
        <f>'FRONT PAGE'!H5</f>
        <v>0</v>
      </c>
      <c r="I5" s="116">
        <f>'FRONT PAGE'!I5</f>
        <v>0</v>
      </c>
      <c r="Q5" s="117"/>
      <c r="R5" s="31"/>
    </row>
    <row r="6" spans="1:21" ht="15" thickBot="1" x14ac:dyDescent="0.25">
      <c r="A6" s="25" t="str">
        <f>'FRONT PAGE'!A6</f>
        <v>815 Centre Ave</v>
      </c>
      <c r="B6" s="25"/>
      <c r="C6" s="25"/>
      <c r="D6" s="25"/>
      <c r="E6" s="25"/>
      <c r="F6" s="26"/>
      <c r="G6" s="8" t="str">
        <f>'FRONT PAGE'!G6</f>
        <v>Due Date:</v>
      </c>
      <c r="H6" s="25">
        <f>'FRONT PAGE'!H6</f>
        <v>0</v>
      </c>
      <c r="I6" s="116">
        <f>'FRONT PAGE'!I6</f>
        <v>0</v>
      </c>
    </row>
    <row r="7" spans="1:21" ht="15" thickBot="1" x14ac:dyDescent="0.25">
      <c r="A7" s="25" t="str">
        <f>'FRONT PAGE'!A7</f>
        <v>Fort Collins, CO  80526</v>
      </c>
      <c r="B7" s="25"/>
      <c r="C7" s="25"/>
      <c r="D7" s="25"/>
      <c r="E7" s="25"/>
      <c r="F7" s="26"/>
      <c r="G7" s="8" t="str">
        <f>'FRONT PAGE'!G7</f>
        <v>Amount:</v>
      </c>
      <c r="H7" s="25"/>
      <c r="I7" s="22">
        <f>SUM(I29)</f>
        <v>0</v>
      </c>
    </row>
    <row r="8" spans="1:21" x14ac:dyDescent="0.2">
      <c r="A8" s="25"/>
      <c r="B8" s="25"/>
      <c r="C8" s="25"/>
      <c r="D8" s="25"/>
      <c r="E8" s="25"/>
      <c r="F8" s="26"/>
      <c r="G8" s="8"/>
      <c r="H8" s="25"/>
      <c r="I8" s="46"/>
    </row>
    <row r="10" spans="1:21" x14ac:dyDescent="0.2">
      <c r="A10" s="8" t="s">
        <v>16</v>
      </c>
      <c r="F10" s="32"/>
      <c r="I10" s="127"/>
      <c r="Q10" s="2"/>
      <c r="R10" s="13"/>
    </row>
    <row r="11" spans="1:21" ht="15" customHeight="1" x14ac:dyDescent="0.2">
      <c r="A11" s="8" t="s">
        <v>17</v>
      </c>
      <c r="B11" s="8"/>
      <c r="C11" s="8"/>
      <c r="D11" s="33" t="s">
        <v>18</v>
      </c>
      <c r="E11" s="33"/>
      <c r="F11" s="34" t="s">
        <v>19</v>
      </c>
      <c r="G11" s="12" t="s">
        <v>20</v>
      </c>
      <c r="H11" s="12"/>
      <c r="I11" s="35" t="s">
        <v>21</v>
      </c>
    </row>
    <row r="12" spans="1:21" ht="15" customHeight="1" x14ac:dyDescent="0.2">
      <c r="A12" s="8"/>
      <c r="B12" s="8"/>
      <c r="C12" s="8"/>
      <c r="D12" s="33"/>
      <c r="E12" s="33"/>
      <c r="F12" s="34"/>
      <c r="G12" s="12"/>
      <c r="H12" s="12"/>
      <c r="I12" s="35"/>
      <c r="Q12" s="2"/>
      <c r="R12" s="13"/>
    </row>
    <row r="13" spans="1:21" x14ac:dyDescent="0.2">
      <c r="A13" s="31"/>
      <c r="D13" s="36"/>
      <c r="E13" s="36"/>
      <c r="F13" s="26"/>
      <c r="G13" s="118"/>
      <c r="I13" s="127"/>
      <c r="Q13" s="2"/>
      <c r="R13" s="3"/>
    </row>
    <row r="14" spans="1:21" ht="15" thickBot="1" x14ac:dyDescent="0.25">
      <c r="A14" s="8" t="s">
        <v>22</v>
      </c>
      <c r="B14" s="8"/>
      <c r="C14" s="8"/>
      <c r="D14" s="39"/>
      <c r="E14" s="8"/>
      <c r="F14" s="34">
        <f>SUM($F$12:$F$13)</f>
        <v>0</v>
      </c>
      <c r="G14" s="44">
        <v>1.7</v>
      </c>
      <c r="I14" s="40">
        <f>+G14*F14</f>
        <v>0</v>
      </c>
      <c r="J14" s="8">
        <f>+J11</f>
        <v>0</v>
      </c>
      <c r="K14" s="41">
        <f>SUM($I$12:$I$13)</f>
        <v>0</v>
      </c>
      <c r="Q14" s="89"/>
      <c r="R14" s="3"/>
    </row>
    <row r="15" spans="1:21" ht="15" thickTop="1" x14ac:dyDescent="0.2">
      <c r="F15" s="25"/>
      <c r="J15" s="8"/>
      <c r="Q15" s="89"/>
      <c r="R15" s="3"/>
    </row>
    <row r="16" spans="1:21" x14ac:dyDescent="0.2">
      <c r="A16" s="8" t="s">
        <v>147</v>
      </c>
      <c r="F16" s="142"/>
      <c r="G16" s="118"/>
      <c r="I16" s="127"/>
      <c r="J16" s="8"/>
      <c r="T16" s="134"/>
      <c r="U16" s="134"/>
    </row>
    <row r="17" spans="1:18" x14ac:dyDescent="0.2">
      <c r="A17" s="8" t="str">
        <f>+A11</f>
        <v>Patient Name</v>
      </c>
      <c r="B17" s="8"/>
      <c r="C17" s="8"/>
      <c r="D17" s="33" t="str">
        <f>+D11</f>
        <v>Dates of Service</v>
      </c>
      <c r="E17" s="33"/>
      <c r="F17" s="34" t="str">
        <f>+F11</f>
        <v>Minutes</v>
      </c>
      <c r="G17" s="12" t="str">
        <f>+G11</f>
        <v>Rate/Min</v>
      </c>
      <c r="H17" s="12">
        <f>+H11</f>
        <v>0</v>
      </c>
      <c r="I17" s="35" t="str">
        <f>+I11</f>
        <v>Total</v>
      </c>
      <c r="J17" s="8"/>
      <c r="Q17" s="89"/>
      <c r="R17" s="3"/>
    </row>
    <row r="18" spans="1:18" x14ac:dyDescent="0.2">
      <c r="A18" s="31"/>
      <c r="B18" s="31"/>
      <c r="C18" s="31"/>
      <c r="D18" s="36"/>
      <c r="E18" s="36"/>
      <c r="F18" s="162"/>
      <c r="G18" s="160"/>
      <c r="H18" s="158"/>
      <c r="I18" s="163"/>
      <c r="J18" s="31"/>
      <c r="Q18" s="89"/>
      <c r="R18" s="3"/>
    </row>
    <row r="19" spans="1:18" ht="13.5" customHeight="1" x14ac:dyDescent="0.2">
      <c r="A19" s="31"/>
      <c r="B19" s="31"/>
      <c r="C19" s="8"/>
      <c r="D19" s="36"/>
      <c r="E19" s="36"/>
      <c r="F19" s="25"/>
      <c r="G19" s="42"/>
      <c r="I19" s="43"/>
      <c r="Q19" s="2"/>
      <c r="R19" s="13"/>
    </row>
    <row r="20" spans="1:18" ht="13.5" customHeight="1" thickBot="1" x14ac:dyDescent="0.25">
      <c r="A20" s="8" t="s">
        <v>23</v>
      </c>
      <c r="E20" s="8"/>
      <c r="F20" s="34">
        <f>SUM($F$18:$F$19)</f>
        <v>0</v>
      </c>
      <c r="G20" s="44">
        <v>1.7</v>
      </c>
      <c r="I20" s="40">
        <f>+G20*F20</f>
        <v>0</v>
      </c>
      <c r="K20" s="41">
        <f>SUM($I$18:$I$19)</f>
        <v>0</v>
      </c>
      <c r="Q20" s="2"/>
      <c r="R20" s="13"/>
    </row>
    <row r="21" spans="1:18" ht="13.5" customHeight="1" thickTop="1" x14ac:dyDescent="0.2">
      <c r="A21" s="8"/>
      <c r="E21" s="8"/>
      <c r="F21" s="34"/>
      <c r="G21" s="44"/>
      <c r="I21" s="46"/>
      <c r="K21" s="62"/>
      <c r="Q21" s="2"/>
      <c r="R21" s="13"/>
    </row>
    <row r="22" spans="1:18" ht="13.5" customHeight="1" x14ac:dyDescent="0.2"/>
    <row r="23" spans="1:18" ht="13.5" customHeight="1" x14ac:dyDescent="0.2">
      <c r="A23" s="8" t="s">
        <v>24</v>
      </c>
      <c r="F23" s="128"/>
      <c r="G23" s="118"/>
      <c r="I23" s="127"/>
    </row>
    <row r="24" spans="1:18" ht="13.5" customHeight="1" x14ac:dyDescent="0.2">
      <c r="A24" s="8" t="str">
        <f>+A11</f>
        <v>Patient Name</v>
      </c>
      <c r="B24" s="8"/>
      <c r="C24" s="8"/>
      <c r="D24" s="33" t="s">
        <v>18</v>
      </c>
      <c r="E24" s="33"/>
      <c r="F24" s="34" t="str">
        <f>+F11</f>
        <v>Minutes</v>
      </c>
      <c r="G24" s="12" t="str">
        <f>+G11</f>
        <v>Rate/Min</v>
      </c>
      <c r="H24" s="12">
        <f>+H11</f>
        <v>0</v>
      </c>
      <c r="I24" s="35" t="str">
        <f>+I11</f>
        <v>Total</v>
      </c>
    </row>
    <row r="25" spans="1:18" ht="13.5" customHeight="1" x14ac:dyDescent="0.2">
      <c r="A25" s="8"/>
      <c r="B25" s="8"/>
      <c r="C25" s="8"/>
      <c r="D25" s="33"/>
      <c r="E25" s="33"/>
      <c r="F25" s="34"/>
      <c r="G25" s="12"/>
      <c r="H25" s="12"/>
      <c r="I25" s="35"/>
    </row>
    <row r="26" spans="1:18" ht="12" customHeight="1" x14ac:dyDescent="0.2">
      <c r="A26" s="31"/>
      <c r="B26" s="31"/>
      <c r="C26" s="8"/>
      <c r="D26" s="36"/>
      <c r="E26" s="36"/>
      <c r="G26" s="42"/>
      <c r="H26" s="8"/>
      <c r="I26" s="38"/>
    </row>
    <row r="27" spans="1:18" ht="12" customHeight="1" thickBot="1" x14ac:dyDescent="0.25">
      <c r="A27" s="8" t="s">
        <v>14</v>
      </c>
      <c r="B27" s="31"/>
      <c r="C27" s="31"/>
      <c r="D27" s="31"/>
      <c r="E27" s="8"/>
      <c r="F27" s="34">
        <f>SUM($F$26:$F$26)</f>
        <v>0</v>
      </c>
      <c r="G27" s="44">
        <v>1.7</v>
      </c>
      <c r="H27" s="8"/>
      <c r="I27" s="40">
        <f>+F27*G27</f>
        <v>0</v>
      </c>
      <c r="K27" s="41">
        <f>SUM($I$26:$I$26)</f>
        <v>0</v>
      </c>
    </row>
    <row r="28" spans="1:18" ht="12" customHeight="1" thickTop="1" thickBot="1" x14ac:dyDescent="0.25">
      <c r="F28" s="24"/>
      <c r="I28" s="127"/>
    </row>
    <row r="29" spans="1:18" ht="15" thickBot="1" x14ac:dyDescent="0.25">
      <c r="A29" s="23" t="str">
        <f>'FRONT PAGE'!A43</f>
        <v>Remit to Address:</v>
      </c>
      <c r="F29" s="32" t="s">
        <v>25</v>
      </c>
      <c r="G29" s="8"/>
      <c r="H29" s="8"/>
      <c r="I29" s="22">
        <f>SUM(I27,I20,I14)</f>
        <v>0</v>
      </c>
      <c r="L29" s="45">
        <f>SUM(K11:K27)</f>
        <v>0</v>
      </c>
    </row>
    <row r="30" spans="1:18" x14ac:dyDescent="0.2">
      <c r="A30" s="8" t="str">
        <f>'FRONT PAGE'!A44</f>
        <v>Columbine Therapy Services</v>
      </c>
      <c r="B30" s="8"/>
      <c r="C30" s="8"/>
      <c r="F30" s="24"/>
      <c r="I30" s="127"/>
    </row>
    <row r="31" spans="1:18" x14ac:dyDescent="0.2">
      <c r="A31" s="8" t="str">
        <f>'FRONT PAGE'!A45</f>
        <v>802 West Drake Road Suite 145</v>
      </c>
      <c r="B31" s="8"/>
      <c r="C31" s="8"/>
      <c r="F31" s="24"/>
      <c r="I31" s="127"/>
    </row>
    <row r="32" spans="1:18" x14ac:dyDescent="0.2">
      <c r="A32" s="8" t="str">
        <f>'FRONT PAGE'!A46</f>
        <v>Fort Collins, CO 80526</v>
      </c>
      <c r="B32" s="8"/>
      <c r="C32" s="8"/>
      <c r="F32" s="24"/>
      <c r="I32" s="127"/>
    </row>
    <row r="33" spans="1:9" x14ac:dyDescent="0.2">
      <c r="A33" s="8" t="str">
        <f>'FRONT PAGE'!A47</f>
        <v>Phone # (970) 492-6238</v>
      </c>
      <c r="B33" s="8"/>
      <c r="C33" s="8"/>
      <c r="F33" s="24"/>
      <c r="I33" s="127"/>
    </row>
    <row r="34" spans="1:9" x14ac:dyDescent="0.2">
      <c r="A34" s="8" t="str">
        <f>'FRONT PAGE'!A48</f>
        <v>Fax #   (970) 492-6205</v>
      </c>
      <c r="B34" s="8"/>
      <c r="C34" s="8"/>
      <c r="F34" s="24"/>
      <c r="I34" s="127"/>
    </row>
    <row r="35" spans="1:9" x14ac:dyDescent="0.2">
      <c r="A35" s="8" t="str">
        <f>'FRONT PAGE'!A49</f>
        <v>Fed Tax ID #</v>
      </c>
      <c r="B35" s="8"/>
      <c r="C35" s="8" t="str">
        <f>'FRONT PAGE'!C49</f>
        <v>84-1412876</v>
      </c>
      <c r="F35" s="24"/>
      <c r="I35" s="127"/>
    </row>
    <row r="36" spans="1:9" x14ac:dyDescent="0.2">
      <c r="F36" s="24"/>
      <c r="I36" s="127"/>
    </row>
  </sheetData>
  <mergeCells count="1">
    <mergeCell ref="A1:I1"/>
  </mergeCells>
  <pageMargins left="0.7" right="0.7" top="0.75" bottom="0.75" header="0.3" footer="0.3"/>
  <pageSetup orientation="portrait" r:id="rId1"/>
  <headerFooter>
    <oddHeader>Page &amp;P of &amp;N</oddHeader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9"/>
  <sheetViews>
    <sheetView zoomScaleNormal="100" workbookViewId="0">
      <selection activeCell="L26" sqref="L26"/>
    </sheetView>
  </sheetViews>
  <sheetFormatPr defaultRowHeight="14.25" x14ac:dyDescent="0.2"/>
  <cols>
    <col min="1" max="1" width="11" style="23" bestFit="1" customWidth="1"/>
    <col min="2" max="2" width="11.42578125" style="23" customWidth="1"/>
    <col min="3" max="3" width="7.140625" style="23" customWidth="1"/>
    <col min="4" max="4" width="11.28515625" style="23" customWidth="1"/>
    <col min="5" max="5" width="10.7109375" style="23" customWidth="1"/>
    <col min="6" max="6" width="9.140625" style="125"/>
    <col min="7" max="7" width="11.85546875" style="23" customWidth="1"/>
    <col min="8" max="8" width="6.42578125" style="23" hidden="1" customWidth="1"/>
    <col min="9" max="9" width="15" style="23" customWidth="1"/>
    <col min="10" max="10" width="9.42578125" style="23" hidden="1" customWidth="1"/>
    <col min="11" max="11" width="11" style="23" customWidth="1"/>
    <col min="12" max="12" width="12.5703125" style="23" customWidth="1"/>
    <col min="13" max="13" width="9.140625" style="23"/>
    <col min="14" max="14" width="14" style="23" customWidth="1"/>
    <col min="15" max="15" width="7.85546875" style="23" customWidth="1"/>
    <col min="16" max="16" width="7.28515625" style="23" customWidth="1"/>
    <col min="17" max="18" width="9.140625" style="23"/>
    <col min="19" max="19" width="3.85546875" style="23" customWidth="1"/>
    <col min="20" max="256" width="9.140625" style="23"/>
    <col min="257" max="257" width="11" style="23" bestFit="1" customWidth="1"/>
    <col min="258" max="258" width="14.85546875" style="23" customWidth="1"/>
    <col min="259" max="259" width="11" style="23" customWidth="1"/>
    <col min="260" max="260" width="11.28515625" style="23" customWidth="1"/>
    <col min="261" max="261" width="10.7109375" style="23" customWidth="1"/>
    <col min="262" max="262" width="9.140625" style="23"/>
    <col min="263" max="263" width="11.85546875" style="23" customWidth="1"/>
    <col min="264" max="264" width="0" style="23" hidden="1" customWidth="1"/>
    <col min="265" max="265" width="12.42578125" style="23" customWidth="1"/>
    <col min="266" max="266" width="0" style="23" hidden="1" customWidth="1"/>
    <col min="267" max="267" width="10.42578125" style="23" bestFit="1" customWidth="1"/>
    <col min="268" max="268" width="12.5703125" style="23" customWidth="1"/>
    <col min="269" max="269" width="9.140625" style="23"/>
    <col min="270" max="270" width="14" style="23" customWidth="1"/>
    <col min="271" max="512" width="9.140625" style="23"/>
    <col min="513" max="513" width="11" style="23" bestFit="1" customWidth="1"/>
    <col min="514" max="514" width="14.85546875" style="23" customWidth="1"/>
    <col min="515" max="515" width="11" style="23" customWidth="1"/>
    <col min="516" max="516" width="11.28515625" style="23" customWidth="1"/>
    <col min="517" max="517" width="10.7109375" style="23" customWidth="1"/>
    <col min="518" max="518" width="9.140625" style="23"/>
    <col min="519" max="519" width="11.85546875" style="23" customWidth="1"/>
    <col min="520" max="520" width="0" style="23" hidden="1" customWidth="1"/>
    <col min="521" max="521" width="12.42578125" style="23" customWidth="1"/>
    <col min="522" max="522" width="0" style="23" hidden="1" customWidth="1"/>
    <col min="523" max="523" width="10.42578125" style="23" bestFit="1" customWidth="1"/>
    <col min="524" max="524" width="12.5703125" style="23" customWidth="1"/>
    <col min="525" max="525" width="9.140625" style="23"/>
    <col min="526" max="526" width="14" style="23" customWidth="1"/>
    <col min="527" max="768" width="9.140625" style="23"/>
    <col min="769" max="769" width="11" style="23" bestFit="1" customWidth="1"/>
    <col min="770" max="770" width="14.85546875" style="23" customWidth="1"/>
    <col min="771" max="771" width="11" style="23" customWidth="1"/>
    <col min="772" max="772" width="11.28515625" style="23" customWidth="1"/>
    <col min="773" max="773" width="10.7109375" style="23" customWidth="1"/>
    <col min="774" max="774" width="9.140625" style="23"/>
    <col min="775" max="775" width="11.85546875" style="23" customWidth="1"/>
    <col min="776" max="776" width="0" style="23" hidden="1" customWidth="1"/>
    <col min="777" max="777" width="12.42578125" style="23" customWidth="1"/>
    <col min="778" max="778" width="0" style="23" hidden="1" customWidth="1"/>
    <col min="779" max="779" width="10.42578125" style="23" bestFit="1" customWidth="1"/>
    <col min="780" max="780" width="12.5703125" style="23" customWidth="1"/>
    <col min="781" max="781" width="9.140625" style="23"/>
    <col min="782" max="782" width="14" style="23" customWidth="1"/>
    <col min="783" max="1024" width="9.140625" style="23"/>
    <col min="1025" max="1025" width="11" style="23" bestFit="1" customWidth="1"/>
    <col min="1026" max="1026" width="14.85546875" style="23" customWidth="1"/>
    <col min="1027" max="1027" width="11" style="23" customWidth="1"/>
    <col min="1028" max="1028" width="11.28515625" style="23" customWidth="1"/>
    <col min="1029" max="1029" width="10.7109375" style="23" customWidth="1"/>
    <col min="1030" max="1030" width="9.140625" style="23"/>
    <col min="1031" max="1031" width="11.85546875" style="23" customWidth="1"/>
    <col min="1032" max="1032" width="0" style="23" hidden="1" customWidth="1"/>
    <col min="1033" max="1033" width="12.42578125" style="23" customWidth="1"/>
    <col min="1034" max="1034" width="0" style="23" hidden="1" customWidth="1"/>
    <col min="1035" max="1035" width="10.42578125" style="23" bestFit="1" customWidth="1"/>
    <col min="1036" max="1036" width="12.5703125" style="23" customWidth="1"/>
    <col min="1037" max="1037" width="9.140625" style="23"/>
    <col min="1038" max="1038" width="14" style="23" customWidth="1"/>
    <col min="1039" max="1280" width="9.140625" style="23"/>
    <col min="1281" max="1281" width="11" style="23" bestFit="1" customWidth="1"/>
    <col min="1282" max="1282" width="14.85546875" style="23" customWidth="1"/>
    <col min="1283" max="1283" width="11" style="23" customWidth="1"/>
    <col min="1284" max="1284" width="11.28515625" style="23" customWidth="1"/>
    <col min="1285" max="1285" width="10.7109375" style="23" customWidth="1"/>
    <col min="1286" max="1286" width="9.140625" style="23"/>
    <col min="1287" max="1287" width="11.85546875" style="23" customWidth="1"/>
    <col min="1288" max="1288" width="0" style="23" hidden="1" customWidth="1"/>
    <col min="1289" max="1289" width="12.42578125" style="23" customWidth="1"/>
    <col min="1290" max="1290" width="0" style="23" hidden="1" customWidth="1"/>
    <col min="1291" max="1291" width="10.42578125" style="23" bestFit="1" customWidth="1"/>
    <col min="1292" max="1292" width="12.5703125" style="23" customWidth="1"/>
    <col min="1293" max="1293" width="9.140625" style="23"/>
    <col min="1294" max="1294" width="14" style="23" customWidth="1"/>
    <col min="1295" max="1536" width="9.140625" style="23"/>
    <col min="1537" max="1537" width="11" style="23" bestFit="1" customWidth="1"/>
    <col min="1538" max="1538" width="14.85546875" style="23" customWidth="1"/>
    <col min="1539" max="1539" width="11" style="23" customWidth="1"/>
    <col min="1540" max="1540" width="11.28515625" style="23" customWidth="1"/>
    <col min="1541" max="1541" width="10.7109375" style="23" customWidth="1"/>
    <col min="1542" max="1542" width="9.140625" style="23"/>
    <col min="1543" max="1543" width="11.85546875" style="23" customWidth="1"/>
    <col min="1544" max="1544" width="0" style="23" hidden="1" customWidth="1"/>
    <col min="1545" max="1545" width="12.42578125" style="23" customWidth="1"/>
    <col min="1546" max="1546" width="0" style="23" hidden="1" customWidth="1"/>
    <col min="1547" max="1547" width="10.42578125" style="23" bestFit="1" customWidth="1"/>
    <col min="1548" max="1548" width="12.5703125" style="23" customWidth="1"/>
    <col min="1549" max="1549" width="9.140625" style="23"/>
    <col min="1550" max="1550" width="14" style="23" customWidth="1"/>
    <col min="1551" max="1792" width="9.140625" style="23"/>
    <col min="1793" max="1793" width="11" style="23" bestFit="1" customWidth="1"/>
    <col min="1794" max="1794" width="14.85546875" style="23" customWidth="1"/>
    <col min="1795" max="1795" width="11" style="23" customWidth="1"/>
    <col min="1796" max="1796" width="11.28515625" style="23" customWidth="1"/>
    <col min="1797" max="1797" width="10.7109375" style="23" customWidth="1"/>
    <col min="1798" max="1798" width="9.140625" style="23"/>
    <col min="1799" max="1799" width="11.85546875" style="23" customWidth="1"/>
    <col min="1800" max="1800" width="0" style="23" hidden="1" customWidth="1"/>
    <col min="1801" max="1801" width="12.42578125" style="23" customWidth="1"/>
    <col min="1802" max="1802" width="0" style="23" hidden="1" customWidth="1"/>
    <col min="1803" max="1803" width="10.42578125" style="23" bestFit="1" customWidth="1"/>
    <col min="1804" max="1804" width="12.5703125" style="23" customWidth="1"/>
    <col min="1805" max="1805" width="9.140625" style="23"/>
    <col min="1806" max="1806" width="14" style="23" customWidth="1"/>
    <col min="1807" max="2048" width="9.140625" style="23"/>
    <col min="2049" max="2049" width="11" style="23" bestFit="1" customWidth="1"/>
    <col min="2050" max="2050" width="14.85546875" style="23" customWidth="1"/>
    <col min="2051" max="2051" width="11" style="23" customWidth="1"/>
    <col min="2052" max="2052" width="11.28515625" style="23" customWidth="1"/>
    <col min="2053" max="2053" width="10.7109375" style="23" customWidth="1"/>
    <col min="2054" max="2054" width="9.140625" style="23"/>
    <col min="2055" max="2055" width="11.85546875" style="23" customWidth="1"/>
    <col min="2056" max="2056" width="0" style="23" hidden="1" customWidth="1"/>
    <col min="2057" max="2057" width="12.42578125" style="23" customWidth="1"/>
    <col min="2058" max="2058" width="0" style="23" hidden="1" customWidth="1"/>
    <col min="2059" max="2059" width="10.42578125" style="23" bestFit="1" customWidth="1"/>
    <col min="2060" max="2060" width="12.5703125" style="23" customWidth="1"/>
    <col min="2061" max="2061" width="9.140625" style="23"/>
    <col min="2062" max="2062" width="14" style="23" customWidth="1"/>
    <col min="2063" max="2304" width="9.140625" style="23"/>
    <col min="2305" max="2305" width="11" style="23" bestFit="1" customWidth="1"/>
    <col min="2306" max="2306" width="14.85546875" style="23" customWidth="1"/>
    <col min="2307" max="2307" width="11" style="23" customWidth="1"/>
    <col min="2308" max="2308" width="11.28515625" style="23" customWidth="1"/>
    <col min="2309" max="2309" width="10.7109375" style="23" customWidth="1"/>
    <col min="2310" max="2310" width="9.140625" style="23"/>
    <col min="2311" max="2311" width="11.85546875" style="23" customWidth="1"/>
    <col min="2312" max="2312" width="0" style="23" hidden="1" customWidth="1"/>
    <col min="2313" max="2313" width="12.42578125" style="23" customWidth="1"/>
    <col min="2314" max="2314" width="0" style="23" hidden="1" customWidth="1"/>
    <col min="2315" max="2315" width="10.42578125" style="23" bestFit="1" customWidth="1"/>
    <col min="2316" max="2316" width="12.5703125" style="23" customWidth="1"/>
    <col min="2317" max="2317" width="9.140625" style="23"/>
    <col min="2318" max="2318" width="14" style="23" customWidth="1"/>
    <col min="2319" max="2560" width="9.140625" style="23"/>
    <col min="2561" max="2561" width="11" style="23" bestFit="1" customWidth="1"/>
    <col min="2562" max="2562" width="14.85546875" style="23" customWidth="1"/>
    <col min="2563" max="2563" width="11" style="23" customWidth="1"/>
    <col min="2564" max="2564" width="11.28515625" style="23" customWidth="1"/>
    <col min="2565" max="2565" width="10.7109375" style="23" customWidth="1"/>
    <col min="2566" max="2566" width="9.140625" style="23"/>
    <col min="2567" max="2567" width="11.85546875" style="23" customWidth="1"/>
    <col min="2568" max="2568" width="0" style="23" hidden="1" customWidth="1"/>
    <col min="2569" max="2569" width="12.42578125" style="23" customWidth="1"/>
    <col min="2570" max="2570" width="0" style="23" hidden="1" customWidth="1"/>
    <col min="2571" max="2571" width="10.42578125" style="23" bestFit="1" customWidth="1"/>
    <col min="2572" max="2572" width="12.5703125" style="23" customWidth="1"/>
    <col min="2573" max="2573" width="9.140625" style="23"/>
    <col min="2574" max="2574" width="14" style="23" customWidth="1"/>
    <col min="2575" max="2816" width="9.140625" style="23"/>
    <col min="2817" max="2817" width="11" style="23" bestFit="1" customWidth="1"/>
    <col min="2818" max="2818" width="14.85546875" style="23" customWidth="1"/>
    <col min="2819" max="2819" width="11" style="23" customWidth="1"/>
    <col min="2820" max="2820" width="11.28515625" style="23" customWidth="1"/>
    <col min="2821" max="2821" width="10.7109375" style="23" customWidth="1"/>
    <col min="2822" max="2822" width="9.140625" style="23"/>
    <col min="2823" max="2823" width="11.85546875" style="23" customWidth="1"/>
    <col min="2824" max="2824" width="0" style="23" hidden="1" customWidth="1"/>
    <col min="2825" max="2825" width="12.42578125" style="23" customWidth="1"/>
    <col min="2826" max="2826" width="0" style="23" hidden="1" customWidth="1"/>
    <col min="2827" max="2827" width="10.42578125" style="23" bestFit="1" customWidth="1"/>
    <col min="2828" max="2828" width="12.5703125" style="23" customWidth="1"/>
    <col min="2829" max="2829" width="9.140625" style="23"/>
    <col min="2830" max="2830" width="14" style="23" customWidth="1"/>
    <col min="2831" max="3072" width="9.140625" style="23"/>
    <col min="3073" max="3073" width="11" style="23" bestFit="1" customWidth="1"/>
    <col min="3074" max="3074" width="14.85546875" style="23" customWidth="1"/>
    <col min="3075" max="3075" width="11" style="23" customWidth="1"/>
    <col min="3076" max="3076" width="11.28515625" style="23" customWidth="1"/>
    <col min="3077" max="3077" width="10.7109375" style="23" customWidth="1"/>
    <col min="3078" max="3078" width="9.140625" style="23"/>
    <col min="3079" max="3079" width="11.85546875" style="23" customWidth="1"/>
    <col min="3080" max="3080" width="0" style="23" hidden="1" customWidth="1"/>
    <col min="3081" max="3081" width="12.42578125" style="23" customWidth="1"/>
    <col min="3082" max="3082" width="0" style="23" hidden="1" customWidth="1"/>
    <col min="3083" max="3083" width="10.42578125" style="23" bestFit="1" customWidth="1"/>
    <col min="3084" max="3084" width="12.5703125" style="23" customWidth="1"/>
    <col min="3085" max="3085" width="9.140625" style="23"/>
    <col min="3086" max="3086" width="14" style="23" customWidth="1"/>
    <col min="3087" max="3328" width="9.140625" style="23"/>
    <col min="3329" max="3329" width="11" style="23" bestFit="1" customWidth="1"/>
    <col min="3330" max="3330" width="14.85546875" style="23" customWidth="1"/>
    <col min="3331" max="3331" width="11" style="23" customWidth="1"/>
    <col min="3332" max="3332" width="11.28515625" style="23" customWidth="1"/>
    <col min="3333" max="3333" width="10.7109375" style="23" customWidth="1"/>
    <col min="3334" max="3334" width="9.140625" style="23"/>
    <col min="3335" max="3335" width="11.85546875" style="23" customWidth="1"/>
    <col min="3336" max="3336" width="0" style="23" hidden="1" customWidth="1"/>
    <col min="3337" max="3337" width="12.42578125" style="23" customWidth="1"/>
    <col min="3338" max="3338" width="0" style="23" hidden="1" customWidth="1"/>
    <col min="3339" max="3339" width="10.42578125" style="23" bestFit="1" customWidth="1"/>
    <col min="3340" max="3340" width="12.5703125" style="23" customWidth="1"/>
    <col min="3341" max="3341" width="9.140625" style="23"/>
    <col min="3342" max="3342" width="14" style="23" customWidth="1"/>
    <col min="3343" max="3584" width="9.140625" style="23"/>
    <col min="3585" max="3585" width="11" style="23" bestFit="1" customWidth="1"/>
    <col min="3586" max="3586" width="14.85546875" style="23" customWidth="1"/>
    <col min="3587" max="3587" width="11" style="23" customWidth="1"/>
    <col min="3588" max="3588" width="11.28515625" style="23" customWidth="1"/>
    <col min="3589" max="3589" width="10.7109375" style="23" customWidth="1"/>
    <col min="3590" max="3590" width="9.140625" style="23"/>
    <col min="3591" max="3591" width="11.85546875" style="23" customWidth="1"/>
    <col min="3592" max="3592" width="0" style="23" hidden="1" customWidth="1"/>
    <col min="3593" max="3593" width="12.42578125" style="23" customWidth="1"/>
    <col min="3594" max="3594" width="0" style="23" hidden="1" customWidth="1"/>
    <col min="3595" max="3595" width="10.42578125" style="23" bestFit="1" customWidth="1"/>
    <col min="3596" max="3596" width="12.5703125" style="23" customWidth="1"/>
    <col min="3597" max="3597" width="9.140625" style="23"/>
    <col min="3598" max="3598" width="14" style="23" customWidth="1"/>
    <col min="3599" max="3840" width="9.140625" style="23"/>
    <col min="3841" max="3841" width="11" style="23" bestFit="1" customWidth="1"/>
    <col min="3842" max="3842" width="14.85546875" style="23" customWidth="1"/>
    <col min="3843" max="3843" width="11" style="23" customWidth="1"/>
    <col min="3844" max="3844" width="11.28515625" style="23" customWidth="1"/>
    <col min="3845" max="3845" width="10.7109375" style="23" customWidth="1"/>
    <col min="3846" max="3846" width="9.140625" style="23"/>
    <col min="3847" max="3847" width="11.85546875" style="23" customWidth="1"/>
    <col min="3848" max="3848" width="0" style="23" hidden="1" customWidth="1"/>
    <col min="3849" max="3849" width="12.42578125" style="23" customWidth="1"/>
    <col min="3850" max="3850" width="0" style="23" hidden="1" customWidth="1"/>
    <col min="3851" max="3851" width="10.42578125" style="23" bestFit="1" customWidth="1"/>
    <col min="3852" max="3852" width="12.5703125" style="23" customWidth="1"/>
    <col min="3853" max="3853" width="9.140625" style="23"/>
    <col min="3854" max="3854" width="14" style="23" customWidth="1"/>
    <col min="3855" max="4096" width="9.140625" style="23"/>
    <col min="4097" max="4097" width="11" style="23" bestFit="1" customWidth="1"/>
    <col min="4098" max="4098" width="14.85546875" style="23" customWidth="1"/>
    <col min="4099" max="4099" width="11" style="23" customWidth="1"/>
    <col min="4100" max="4100" width="11.28515625" style="23" customWidth="1"/>
    <col min="4101" max="4101" width="10.7109375" style="23" customWidth="1"/>
    <col min="4102" max="4102" width="9.140625" style="23"/>
    <col min="4103" max="4103" width="11.85546875" style="23" customWidth="1"/>
    <col min="4104" max="4104" width="0" style="23" hidden="1" customWidth="1"/>
    <col min="4105" max="4105" width="12.42578125" style="23" customWidth="1"/>
    <col min="4106" max="4106" width="0" style="23" hidden="1" customWidth="1"/>
    <col min="4107" max="4107" width="10.42578125" style="23" bestFit="1" customWidth="1"/>
    <col min="4108" max="4108" width="12.5703125" style="23" customWidth="1"/>
    <col min="4109" max="4109" width="9.140625" style="23"/>
    <col min="4110" max="4110" width="14" style="23" customWidth="1"/>
    <col min="4111" max="4352" width="9.140625" style="23"/>
    <col min="4353" max="4353" width="11" style="23" bestFit="1" customWidth="1"/>
    <col min="4354" max="4354" width="14.85546875" style="23" customWidth="1"/>
    <col min="4355" max="4355" width="11" style="23" customWidth="1"/>
    <col min="4356" max="4356" width="11.28515625" style="23" customWidth="1"/>
    <col min="4357" max="4357" width="10.7109375" style="23" customWidth="1"/>
    <col min="4358" max="4358" width="9.140625" style="23"/>
    <col min="4359" max="4359" width="11.85546875" style="23" customWidth="1"/>
    <col min="4360" max="4360" width="0" style="23" hidden="1" customWidth="1"/>
    <col min="4361" max="4361" width="12.42578125" style="23" customWidth="1"/>
    <col min="4362" max="4362" width="0" style="23" hidden="1" customWidth="1"/>
    <col min="4363" max="4363" width="10.42578125" style="23" bestFit="1" customWidth="1"/>
    <col min="4364" max="4364" width="12.5703125" style="23" customWidth="1"/>
    <col min="4365" max="4365" width="9.140625" style="23"/>
    <col min="4366" max="4366" width="14" style="23" customWidth="1"/>
    <col min="4367" max="4608" width="9.140625" style="23"/>
    <col min="4609" max="4609" width="11" style="23" bestFit="1" customWidth="1"/>
    <col min="4610" max="4610" width="14.85546875" style="23" customWidth="1"/>
    <col min="4611" max="4611" width="11" style="23" customWidth="1"/>
    <col min="4612" max="4612" width="11.28515625" style="23" customWidth="1"/>
    <col min="4613" max="4613" width="10.7109375" style="23" customWidth="1"/>
    <col min="4614" max="4614" width="9.140625" style="23"/>
    <col min="4615" max="4615" width="11.85546875" style="23" customWidth="1"/>
    <col min="4616" max="4616" width="0" style="23" hidden="1" customWidth="1"/>
    <col min="4617" max="4617" width="12.42578125" style="23" customWidth="1"/>
    <col min="4618" max="4618" width="0" style="23" hidden="1" customWidth="1"/>
    <col min="4619" max="4619" width="10.42578125" style="23" bestFit="1" customWidth="1"/>
    <col min="4620" max="4620" width="12.5703125" style="23" customWidth="1"/>
    <col min="4621" max="4621" width="9.140625" style="23"/>
    <col min="4622" max="4622" width="14" style="23" customWidth="1"/>
    <col min="4623" max="4864" width="9.140625" style="23"/>
    <col min="4865" max="4865" width="11" style="23" bestFit="1" customWidth="1"/>
    <col min="4866" max="4866" width="14.85546875" style="23" customWidth="1"/>
    <col min="4867" max="4867" width="11" style="23" customWidth="1"/>
    <col min="4868" max="4868" width="11.28515625" style="23" customWidth="1"/>
    <col min="4869" max="4869" width="10.7109375" style="23" customWidth="1"/>
    <col min="4870" max="4870" width="9.140625" style="23"/>
    <col min="4871" max="4871" width="11.85546875" style="23" customWidth="1"/>
    <col min="4872" max="4872" width="0" style="23" hidden="1" customWidth="1"/>
    <col min="4873" max="4873" width="12.42578125" style="23" customWidth="1"/>
    <col min="4874" max="4874" width="0" style="23" hidden="1" customWidth="1"/>
    <col min="4875" max="4875" width="10.42578125" style="23" bestFit="1" customWidth="1"/>
    <col min="4876" max="4876" width="12.5703125" style="23" customWidth="1"/>
    <col min="4877" max="4877" width="9.140625" style="23"/>
    <col min="4878" max="4878" width="14" style="23" customWidth="1"/>
    <col min="4879" max="5120" width="9.140625" style="23"/>
    <col min="5121" max="5121" width="11" style="23" bestFit="1" customWidth="1"/>
    <col min="5122" max="5122" width="14.85546875" style="23" customWidth="1"/>
    <col min="5123" max="5123" width="11" style="23" customWidth="1"/>
    <col min="5124" max="5124" width="11.28515625" style="23" customWidth="1"/>
    <col min="5125" max="5125" width="10.7109375" style="23" customWidth="1"/>
    <col min="5126" max="5126" width="9.140625" style="23"/>
    <col min="5127" max="5127" width="11.85546875" style="23" customWidth="1"/>
    <col min="5128" max="5128" width="0" style="23" hidden="1" customWidth="1"/>
    <col min="5129" max="5129" width="12.42578125" style="23" customWidth="1"/>
    <col min="5130" max="5130" width="0" style="23" hidden="1" customWidth="1"/>
    <col min="5131" max="5131" width="10.42578125" style="23" bestFit="1" customWidth="1"/>
    <col min="5132" max="5132" width="12.5703125" style="23" customWidth="1"/>
    <col min="5133" max="5133" width="9.140625" style="23"/>
    <col min="5134" max="5134" width="14" style="23" customWidth="1"/>
    <col min="5135" max="5376" width="9.140625" style="23"/>
    <col min="5377" max="5377" width="11" style="23" bestFit="1" customWidth="1"/>
    <col min="5378" max="5378" width="14.85546875" style="23" customWidth="1"/>
    <col min="5379" max="5379" width="11" style="23" customWidth="1"/>
    <col min="5380" max="5380" width="11.28515625" style="23" customWidth="1"/>
    <col min="5381" max="5381" width="10.7109375" style="23" customWidth="1"/>
    <col min="5382" max="5382" width="9.140625" style="23"/>
    <col min="5383" max="5383" width="11.85546875" style="23" customWidth="1"/>
    <col min="5384" max="5384" width="0" style="23" hidden="1" customWidth="1"/>
    <col min="5385" max="5385" width="12.42578125" style="23" customWidth="1"/>
    <col min="5386" max="5386" width="0" style="23" hidden="1" customWidth="1"/>
    <col min="5387" max="5387" width="10.42578125" style="23" bestFit="1" customWidth="1"/>
    <col min="5388" max="5388" width="12.5703125" style="23" customWidth="1"/>
    <col min="5389" max="5389" width="9.140625" style="23"/>
    <col min="5390" max="5390" width="14" style="23" customWidth="1"/>
    <col min="5391" max="5632" width="9.140625" style="23"/>
    <col min="5633" max="5633" width="11" style="23" bestFit="1" customWidth="1"/>
    <col min="5634" max="5634" width="14.85546875" style="23" customWidth="1"/>
    <col min="5635" max="5635" width="11" style="23" customWidth="1"/>
    <col min="5636" max="5636" width="11.28515625" style="23" customWidth="1"/>
    <col min="5637" max="5637" width="10.7109375" style="23" customWidth="1"/>
    <col min="5638" max="5638" width="9.140625" style="23"/>
    <col min="5639" max="5639" width="11.85546875" style="23" customWidth="1"/>
    <col min="5640" max="5640" width="0" style="23" hidden="1" customWidth="1"/>
    <col min="5641" max="5641" width="12.42578125" style="23" customWidth="1"/>
    <col min="5642" max="5642" width="0" style="23" hidden="1" customWidth="1"/>
    <col min="5643" max="5643" width="10.42578125" style="23" bestFit="1" customWidth="1"/>
    <col min="5644" max="5644" width="12.5703125" style="23" customWidth="1"/>
    <col min="5645" max="5645" width="9.140625" style="23"/>
    <col min="5646" max="5646" width="14" style="23" customWidth="1"/>
    <col min="5647" max="5888" width="9.140625" style="23"/>
    <col min="5889" max="5889" width="11" style="23" bestFit="1" customWidth="1"/>
    <col min="5890" max="5890" width="14.85546875" style="23" customWidth="1"/>
    <col min="5891" max="5891" width="11" style="23" customWidth="1"/>
    <col min="5892" max="5892" width="11.28515625" style="23" customWidth="1"/>
    <col min="5893" max="5893" width="10.7109375" style="23" customWidth="1"/>
    <col min="5894" max="5894" width="9.140625" style="23"/>
    <col min="5895" max="5895" width="11.85546875" style="23" customWidth="1"/>
    <col min="5896" max="5896" width="0" style="23" hidden="1" customWidth="1"/>
    <col min="5897" max="5897" width="12.42578125" style="23" customWidth="1"/>
    <col min="5898" max="5898" width="0" style="23" hidden="1" customWidth="1"/>
    <col min="5899" max="5899" width="10.42578125" style="23" bestFit="1" customWidth="1"/>
    <col min="5900" max="5900" width="12.5703125" style="23" customWidth="1"/>
    <col min="5901" max="5901" width="9.140625" style="23"/>
    <col min="5902" max="5902" width="14" style="23" customWidth="1"/>
    <col min="5903" max="6144" width="9.140625" style="23"/>
    <col min="6145" max="6145" width="11" style="23" bestFit="1" customWidth="1"/>
    <col min="6146" max="6146" width="14.85546875" style="23" customWidth="1"/>
    <col min="6147" max="6147" width="11" style="23" customWidth="1"/>
    <col min="6148" max="6148" width="11.28515625" style="23" customWidth="1"/>
    <col min="6149" max="6149" width="10.7109375" style="23" customWidth="1"/>
    <col min="6150" max="6150" width="9.140625" style="23"/>
    <col min="6151" max="6151" width="11.85546875" style="23" customWidth="1"/>
    <col min="6152" max="6152" width="0" style="23" hidden="1" customWidth="1"/>
    <col min="6153" max="6153" width="12.42578125" style="23" customWidth="1"/>
    <col min="6154" max="6154" width="0" style="23" hidden="1" customWidth="1"/>
    <col min="6155" max="6155" width="10.42578125" style="23" bestFit="1" customWidth="1"/>
    <col min="6156" max="6156" width="12.5703125" style="23" customWidth="1"/>
    <col min="6157" max="6157" width="9.140625" style="23"/>
    <col min="6158" max="6158" width="14" style="23" customWidth="1"/>
    <col min="6159" max="6400" width="9.140625" style="23"/>
    <col min="6401" max="6401" width="11" style="23" bestFit="1" customWidth="1"/>
    <col min="6402" max="6402" width="14.85546875" style="23" customWidth="1"/>
    <col min="6403" max="6403" width="11" style="23" customWidth="1"/>
    <col min="6404" max="6404" width="11.28515625" style="23" customWidth="1"/>
    <col min="6405" max="6405" width="10.7109375" style="23" customWidth="1"/>
    <col min="6406" max="6406" width="9.140625" style="23"/>
    <col min="6407" max="6407" width="11.85546875" style="23" customWidth="1"/>
    <col min="6408" max="6408" width="0" style="23" hidden="1" customWidth="1"/>
    <col min="6409" max="6409" width="12.42578125" style="23" customWidth="1"/>
    <col min="6410" max="6410" width="0" style="23" hidden="1" customWidth="1"/>
    <col min="6411" max="6411" width="10.42578125" style="23" bestFit="1" customWidth="1"/>
    <col min="6412" max="6412" width="12.5703125" style="23" customWidth="1"/>
    <col min="6413" max="6413" width="9.140625" style="23"/>
    <col min="6414" max="6414" width="14" style="23" customWidth="1"/>
    <col min="6415" max="6656" width="9.140625" style="23"/>
    <col min="6657" max="6657" width="11" style="23" bestFit="1" customWidth="1"/>
    <col min="6658" max="6658" width="14.85546875" style="23" customWidth="1"/>
    <col min="6659" max="6659" width="11" style="23" customWidth="1"/>
    <col min="6660" max="6660" width="11.28515625" style="23" customWidth="1"/>
    <col min="6661" max="6661" width="10.7109375" style="23" customWidth="1"/>
    <col min="6662" max="6662" width="9.140625" style="23"/>
    <col min="6663" max="6663" width="11.85546875" style="23" customWidth="1"/>
    <col min="6664" max="6664" width="0" style="23" hidden="1" customWidth="1"/>
    <col min="6665" max="6665" width="12.42578125" style="23" customWidth="1"/>
    <col min="6666" max="6666" width="0" style="23" hidden="1" customWidth="1"/>
    <col min="6667" max="6667" width="10.42578125" style="23" bestFit="1" customWidth="1"/>
    <col min="6668" max="6668" width="12.5703125" style="23" customWidth="1"/>
    <col min="6669" max="6669" width="9.140625" style="23"/>
    <col min="6670" max="6670" width="14" style="23" customWidth="1"/>
    <col min="6671" max="6912" width="9.140625" style="23"/>
    <col min="6913" max="6913" width="11" style="23" bestFit="1" customWidth="1"/>
    <col min="6914" max="6914" width="14.85546875" style="23" customWidth="1"/>
    <col min="6915" max="6915" width="11" style="23" customWidth="1"/>
    <col min="6916" max="6916" width="11.28515625" style="23" customWidth="1"/>
    <col min="6917" max="6917" width="10.7109375" style="23" customWidth="1"/>
    <col min="6918" max="6918" width="9.140625" style="23"/>
    <col min="6919" max="6919" width="11.85546875" style="23" customWidth="1"/>
    <col min="6920" max="6920" width="0" style="23" hidden="1" customWidth="1"/>
    <col min="6921" max="6921" width="12.42578125" style="23" customWidth="1"/>
    <col min="6922" max="6922" width="0" style="23" hidden="1" customWidth="1"/>
    <col min="6923" max="6923" width="10.42578125" style="23" bestFit="1" customWidth="1"/>
    <col min="6924" max="6924" width="12.5703125" style="23" customWidth="1"/>
    <col min="6925" max="6925" width="9.140625" style="23"/>
    <col min="6926" max="6926" width="14" style="23" customWidth="1"/>
    <col min="6927" max="7168" width="9.140625" style="23"/>
    <col min="7169" max="7169" width="11" style="23" bestFit="1" customWidth="1"/>
    <col min="7170" max="7170" width="14.85546875" style="23" customWidth="1"/>
    <col min="7171" max="7171" width="11" style="23" customWidth="1"/>
    <col min="7172" max="7172" width="11.28515625" style="23" customWidth="1"/>
    <col min="7173" max="7173" width="10.7109375" style="23" customWidth="1"/>
    <col min="7174" max="7174" width="9.140625" style="23"/>
    <col min="7175" max="7175" width="11.85546875" style="23" customWidth="1"/>
    <col min="7176" max="7176" width="0" style="23" hidden="1" customWidth="1"/>
    <col min="7177" max="7177" width="12.42578125" style="23" customWidth="1"/>
    <col min="7178" max="7178" width="0" style="23" hidden="1" customWidth="1"/>
    <col min="7179" max="7179" width="10.42578125" style="23" bestFit="1" customWidth="1"/>
    <col min="7180" max="7180" width="12.5703125" style="23" customWidth="1"/>
    <col min="7181" max="7181" width="9.140625" style="23"/>
    <col min="7182" max="7182" width="14" style="23" customWidth="1"/>
    <col min="7183" max="7424" width="9.140625" style="23"/>
    <col min="7425" max="7425" width="11" style="23" bestFit="1" customWidth="1"/>
    <col min="7426" max="7426" width="14.85546875" style="23" customWidth="1"/>
    <col min="7427" max="7427" width="11" style="23" customWidth="1"/>
    <col min="7428" max="7428" width="11.28515625" style="23" customWidth="1"/>
    <col min="7429" max="7429" width="10.7109375" style="23" customWidth="1"/>
    <col min="7430" max="7430" width="9.140625" style="23"/>
    <col min="7431" max="7431" width="11.85546875" style="23" customWidth="1"/>
    <col min="7432" max="7432" width="0" style="23" hidden="1" customWidth="1"/>
    <col min="7433" max="7433" width="12.42578125" style="23" customWidth="1"/>
    <col min="7434" max="7434" width="0" style="23" hidden="1" customWidth="1"/>
    <col min="7435" max="7435" width="10.42578125" style="23" bestFit="1" customWidth="1"/>
    <col min="7436" max="7436" width="12.5703125" style="23" customWidth="1"/>
    <col min="7437" max="7437" width="9.140625" style="23"/>
    <col min="7438" max="7438" width="14" style="23" customWidth="1"/>
    <col min="7439" max="7680" width="9.140625" style="23"/>
    <col min="7681" max="7681" width="11" style="23" bestFit="1" customWidth="1"/>
    <col min="7682" max="7682" width="14.85546875" style="23" customWidth="1"/>
    <col min="7683" max="7683" width="11" style="23" customWidth="1"/>
    <col min="7684" max="7684" width="11.28515625" style="23" customWidth="1"/>
    <col min="7685" max="7685" width="10.7109375" style="23" customWidth="1"/>
    <col min="7686" max="7686" width="9.140625" style="23"/>
    <col min="7687" max="7687" width="11.85546875" style="23" customWidth="1"/>
    <col min="7688" max="7688" width="0" style="23" hidden="1" customWidth="1"/>
    <col min="7689" max="7689" width="12.42578125" style="23" customWidth="1"/>
    <col min="7690" max="7690" width="0" style="23" hidden="1" customWidth="1"/>
    <col min="7691" max="7691" width="10.42578125" style="23" bestFit="1" customWidth="1"/>
    <col min="7692" max="7692" width="12.5703125" style="23" customWidth="1"/>
    <col min="7693" max="7693" width="9.140625" style="23"/>
    <col min="7694" max="7694" width="14" style="23" customWidth="1"/>
    <col min="7695" max="7936" width="9.140625" style="23"/>
    <col min="7937" max="7937" width="11" style="23" bestFit="1" customWidth="1"/>
    <col min="7938" max="7938" width="14.85546875" style="23" customWidth="1"/>
    <col min="7939" max="7939" width="11" style="23" customWidth="1"/>
    <col min="7940" max="7940" width="11.28515625" style="23" customWidth="1"/>
    <col min="7941" max="7941" width="10.7109375" style="23" customWidth="1"/>
    <col min="7942" max="7942" width="9.140625" style="23"/>
    <col min="7943" max="7943" width="11.85546875" style="23" customWidth="1"/>
    <col min="7944" max="7944" width="0" style="23" hidden="1" customWidth="1"/>
    <col min="7945" max="7945" width="12.42578125" style="23" customWidth="1"/>
    <col min="7946" max="7946" width="0" style="23" hidden="1" customWidth="1"/>
    <col min="7947" max="7947" width="10.42578125" style="23" bestFit="1" customWidth="1"/>
    <col min="7948" max="7948" width="12.5703125" style="23" customWidth="1"/>
    <col min="7949" max="7949" width="9.140625" style="23"/>
    <col min="7950" max="7950" width="14" style="23" customWidth="1"/>
    <col min="7951" max="8192" width="9.140625" style="23"/>
    <col min="8193" max="8193" width="11" style="23" bestFit="1" customWidth="1"/>
    <col min="8194" max="8194" width="14.85546875" style="23" customWidth="1"/>
    <col min="8195" max="8195" width="11" style="23" customWidth="1"/>
    <col min="8196" max="8196" width="11.28515625" style="23" customWidth="1"/>
    <col min="8197" max="8197" width="10.7109375" style="23" customWidth="1"/>
    <col min="8198" max="8198" width="9.140625" style="23"/>
    <col min="8199" max="8199" width="11.85546875" style="23" customWidth="1"/>
    <col min="8200" max="8200" width="0" style="23" hidden="1" customWidth="1"/>
    <col min="8201" max="8201" width="12.42578125" style="23" customWidth="1"/>
    <col min="8202" max="8202" width="0" style="23" hidden="1" customWidth="1"/>
    <col min="8203" max="8203" width="10.42578125" style="23" bestFit="1" customWidth="1"/>
    <col min="8204" max="8204" width="12.5703125" style="23" customWidth="1"/>
    <col min="8205" max="8205" width="9.140625" style="23"/>
    <col min="8206" max="8206" width="14" style="23" customWidth="1"/>
    <col min="8207" max="8448" width="9.140625" style="23"/>
    <col min="8449" max="8449" width="11" style="23" bestFit="1" customWidth="1"/>
    <col min="8450" max="8450" width="14.85546875" style="23" customWidth="1"/>
    <col min="8451" max="8451" width="11" style="23" customWidth="1"/>
    <col min="8452" max="8452" width="11.28515625" style="23" customWidth="1"/>
    <col min="8453" max="8453" width="10.7109375" style="23" customWidth="1"/>
    <col min="8454" max="8454" width="9.140625" style="23"/>
    <col min="8455" max="8455" width="11.85546875" style="23" customWidth="1"/>
    <col min="8456" max="8456" width="0" style="23" hidden="1" customWidth="1"/>
    <col min="8457" max="8457" width="12.42578125" style="23" customWidth="1"/>
    <col min="8458" max="8458" width="0" style="23" hidden="1" customWidth="1"/>
    <col min="8459" max="8459" width="10.42578125" style="23" bestFit="1" customWidth="1"/>
    <col min="8460" max="8460" width="12.5703125" style="23" customWidth="1"/>
    <col min="8461" max="8461" width="9.140625" style="23"/>
    <col min="8462" max="8462" width="14" style="23" customWidth="1"/>
    <col min="8463" max="8704" width="9.140625" style="23"/>
    <col min="8705" max="8705" width="11" style="23" bestFit="1" customWidth="1"/>
    <col min="8706" max="8706" width="14.85546875" style="23" customWidth="1"/>
    <col min="8707" max="8707" width="11" style="23" customWidth="1"/>
    <col min="8708" max="8708" width="11.28515625" style="23" customWidth="1"/>
    <col min="8709" max="8709" width="10.7109375" style="23" customWidth="1"/>
    <col min="8710" max="8710" width="9.140625" style="23"/>
    <col min="8711" max="8711" width="11.85546875" style="23" customWidth="1"/>
    <col min="8712" max="8712" width="0" style="23" hidden="1" customWidth="1"/>
    <col min="8713" max="8713" width="12.42578125" style="23" customWidth="1"/>
    <col min="8714" max="8714" width="0" style="23" hidden="1" customWidth="1"/>
    <col min="8715" max="8715" width="10.42578125" style="23" bestFit="1" customWidth="1"/>
    <col min="8716" max="8716" width="12.5703125" style="23" customWidth="1"/>
    <col min="8717" max="8717" width="9.140625" style="23"/>
    <col min="8718" max="8718" width="14" style="23" customWidth="1"/>
    <col min="8719" max="8960" width="9.140625" style="23"/>
    <col min="8961" max="8961" width="11" style="23" bestFit="1" customWidth="1"/>
    <col min="8962" max="8962" width="14.85546875" style="23" customWidth="1"/>
    <col min="8963" max="8963" width="11" style="23" customWidth="1"/>
    <col min="8964" max="8964" width="11.28515625" style="23" customWidth="1"/>
    <col min="8965" max="8965" width="10.7109375" style="23" customWidth="1"/>
    <col min="8966" max="8966" width="9.140625" style="23"/>
    <col min="8967" max="8967" width="11.85546875" style="23" customWidth="1"/>
    <col min="8968" max="8968" width="0" style="23" hidden="1" customWidth="1"/>
    <col min="8969" max="8969" width="12.42578125" style="23" customWidth="1"/>
    <col min="8970" max="8970" width="0" style="23" hidden="1" customWidth="1"/>
    <col min="8971" max="8971" width="10.42578125" style="23" bestFit="1" customWidth="1"/>
    <col min="8972" max="8972" width="12.5703125" style="23" customWidth="1"/>
    <col min="8973" max="8973" width="9.140625" style="23"/>
    <col min="8974" max="8974" width="14" style="23" customWidth="1"/>
    <col min="8975" max="9216" width="9.140625" style="23"/>
    <col min="9217" max="9217" width="11" style="23" bestFit="1" customWidth="1"/>
    <col min="9218" max="9218" width="14.85546875" style="23" customWidth="1"/>
    <col min="9219" max="9219" width="11" style="23" customWidth="1"/>
    <col min="9220" max="9220" width="11.28515625" style="23" customWidth="1"/>
    <col min="9221" max="9221" width="10.7109375" style="23" customWidth="1"/>
    <col min="9222" max="9222" width="9.140625" style="23"/>
    <col min="9223" max="9223" width="11.85546875" style="23" customWidth="1"/>
    <col min="9224" max="9224" width="0" style="23" hidden="1" customWidth="1"/>
    <col min="9225" max="9225" width="12.42578125" style="23" customWidth="1"/>
    <col min="9226" max="9226" width="0" style="23" hidden="1" customWidth="1"/>
    <col min="9227" max="9227" width="10.42578125" style="23" bestFit="1" customWidth="1"/>
    <col min="9228" max="9228" width="12.5703125" style="23" customWidth="1"/>
    <col min="9229" max="9229" width="9.140625" style="23"/>
    <col min="9230" max="9230" width="14" style="23" customWidth="1"/>
    <col min="9231" max="9472" width="9.140625" style="23"/>
    <col min="9473" max="9473" width="11" style="23" bestFit="1" customWidth="1"/>
    <col min="9474" max="9474" width="14.85546875" style="23" customWidth="1"/>
    <col min="9475" max="9475" width="11" style="23" customWidth="1"/>
    <col min="9476" max="9476" width="11.28515625" style="23" customWidth="1"/>
    <col min="9477" max="9477" width="10.7109375" style="23" customWidth="1"/>
    <col min="9478" max="9478" width="9.140625" style="23"/>
    <col min="9479" max="9479" width="11.85546875" style="23" customWidth="1"/>
    <col min="9480" max="9480" width="0" style="23" hidden="1" customWidth="1"/>
    <col min="9481" max="9481" width="12.42578125" style="23" customWidth="1"/>
    <col min="9482" max="9482" width="0" style="23" hidden="1" customWidth="1"/>
    <col min="9483" max="9483" width="10.42578125" style="23" bestFit="1" customWidth="1"/>
    <col min="9484" max="9484" width="12.5703125" style="23" customWidth="1"/>
    <col min="9485" max="9485" width="9.140625" style="23"/>
    <col min="9486" max="9486" width="14" style="23" customWidth="1"/>
    <col min="9487" max="9728" width="9.140625" style="23"/>
    <col min="9729" max="9729" width="11" style="23" bestFit="1" customWidth="1"/>
    <col min="9730" max="9730" width="14.85546875" style="23" customWidth="1"/>
    <col min="9731" max="9731" width="11" style="23" customWidth="1"/>
    <col min="9732" max="9732" width="11.28515625" style="23" customWidth="1"/>
    <col min="9733" max="9733" width="10.7109375" style="23" customWidth="1"/>
    <col min="9734" max="9734" width="9.140625" style="23"/>
    <col min="9735" max="9735" width="11.85546875" style="23" customWidth="1"/>
    <col min="9736" max="9736" width="0" style="23" hidden="1" customWidth="1"/>
    <col min="9737" max="9737" width="12.42578125" style="23" customWidth="1"/>
    <col min="9738" max="9738" width="0" style="23" hidden="1" customWidth="1"/>
    <col min="9739" max="9739" width="10.42578125" style="23" bestFit="1" customWidth="1"/>
    <col min="9740" max="9740" width="12.5703125" style="23" customWidth="1"/>
    <col min="9741" max="9741" width="9.140625" style="23"/>
    <col min="9742" max="9742" width="14" style="23" customWidth="1"/>
    <col min="9743" max="9984" width="9.140625" style="23"/>
    <col min="9985" max="9985" width="11" style="23" bestFit="1" customWidth="1"/>
    <col min="9986" max="9986" width="14.85546875" style="23" customWidth="1"/>
    <col min="9987" max="9987" width="11" style="23" customWidth="1"/>
    <col min="9988" max="9988" width="11.28515625" style="23" customWidth="1"/>
    <col min="9989" max="9989" width="10.7109375" style="23" customWidth="1"/>
    <col min="9990" max="9990" width="9.140625" style="23"/>
    <col min="9991" max="9991" width="11.85546875" style="23" customWidth="1"/>
    <col min="9992" max="9992" width="0" style="23" hidden="1" customWidth="1"/>
    <col min="9993" max="9993" width="12.42578125" style="23" customWidth="1"/>
    <col min="9994" max="9994" width="0" style="23" hidden="1" customWidth="1"/>
    <col min="9995" max="9995" width="10.42578125" style="23" bestFit="1" customWidth="1"/>
    <col min="9996" max="9996" width="12.5703125" style="23" customWidth="1"/>
    <col min="9997" max="9997" width="9.140625" style="23"/>
    <col min="9998" max="9998" width="14" style="23" customWidth="1"/>
    <col min="9999" max="10240" width="9.140625" style="23"/>
    <col min="10241" max="10241" width="11" style="23" bestFit="1" customWidth="1"/>
    <col min="10242" max="10242" width="14.85546875" style="23" customWidth="1"/>
    <col min="10243" max="10243" width="11" style="23" customWidth="1"/>
    <col min="10244" max="10244" width="11.28515625" style="23" customWidth="1"/>
    <col min="10245" max="10245" width="10.7109375" style="23" customWidth="1"/>
    <col min="10246" max="10246" width="9.140625" style="23"/>
    <col min="10247" max="10247" width="11.85546875" style="23" customWidth="1"/>
    <col min="10248" max="10248" width="0" style="23" hidden="1" customWidth="1"/>
    <col min="10249" max="10249" width="12.42578125" style="23" customWidth="1"/>
    <col min="10250" max="10250" width="0" style="23" hidden="1" customWidth="1"/>
    <col min="10251" max="10251" width="10.42578125" style="23" bestFit="1" customWidth="1"/>
    <col min="10252" max="10252" width="12.5703125" style="23" customWidth="1"/>
    <col min="10253" max="10253" width="9.140625" style="23"/>
    <col min="10254" max="10254" width="14" style="23" customWidth="1"/>
    <col min="10255" max="10496" width="9.140625" style="23"/>
    <col min="10497" max="10497" width="11" style="23" bestFit="1" customWidth="1"/>
    <col min="10498" max="10498" width="14.85546875" style="23" customWidth="1"/>
    <col min="10499" max="10499" width="11" style="23" customWidth="1"/>
    <col min="10500" max="10500" width="11.28515625" style="23" customWidth="1"/>
    <col min="10501" max="10501" width="10.7109375" style="23" customWidth="1"/>
    <col min="10502" max="10502" width="9.140625" style="23"/>
    <col min="10503" max="10503" width="11.85546875" style="23" customWidth="1"/>
    <col min="10504" max="10504" width="0" style="23" hidden="1" customWidth="1"/>
    <col min="10505" max="10505" width="12.42578125" style="23" customWidth="1"/>
    <col min="10506" max="10506" width="0" style="23" hidden="1" customWidth="1"/>
    <col min="10507" max="10507" width="10.42578125" style="23" bestFit="1" customWidth="1"/>
    <col min="10508" max="10508" width="12.5703125" style="23" customWidth="1"/>
    <col min="10509" max="10509" width="9.140625" style="23"/>
    <col min="10510" max="10510" width="14" style="23" customWidth="1"/>
    <col min="10511" max="10752" width="9.140625" style="23"/>
    <col min="10753" max="10753" width="11" style="23" bestFit="1" customWidth="1"/>
    <col min="10754" max="10754" width="14.85546875" style="23" customWidth="1"/>
    <col min="10755" max="10755" width="11" style="23" customWidth="1"/>
    <col min="10756" max="10756" width="11.28515625" style="23" customWidth="1"/>
    <col min="10757" max="10757" width="10.7109375" style="23" customWidth="1"/>
    <col min="10758" max="10758" width="9.140625" style="23"/>
    <col min="10759" max="10759" width="11.85546875" style="23" customWidth="1"/>
    <col min="10760" max="10760" width="0" style="23" hidden="1" customWidth="1"/>
    <col min="10761" max="10761" width="12.42578125" style="23" customWidth="1"/>
    <col min="10762" max="10762" width="0" style="23" hidden="1" customWidth="1"/>
    <col min="10763" max="10763" width="10.42578125" style="23" bestFit="1" customWidth="1"/>
    <col min="10764" max="10764" width="12.5703125" style="23" customWidth="1"/>
    <col min="10765" max="10765" width="9.140625" style="23"/>
    <col min="10766" max="10766" width="14" style="23" customWidth="1"/>
    <col min="10767" max="11008" width="9.140625" style="23"/>
    <col min="11009" max="11009" width="11" style="23" bestFit="1" customWidth="1"/>
    <col min="11010" max="11010" width="14.85546875" style="23" customWidth="1"/>
    <col min="11011" max="11011" width="11" style="23" customWidth="1"/>
    <col min="11012" max="11012" width="11.28515625" style="23" customWidth="1"/>
    <col min="11013" max="11013" width="10.7109375" style="23" customWidth="1"/>
    <col min="11014" max="11014" width="9.140625" style="23"/>
    <col min="11015" max="11015" width="11.85546875" style="23" customWidth="1"/>
    <col min="11016" max="11016" width="0" style="23" hidden="1" customWidth="1"/>
    <col min="11017" max="11017" width="12.42578125" style="23" customWidth="1"/>
    <col min="11018" max="11018" width="0" style="23" hidden="1" customWidth="1"/>
    <col min="11019" max="11019" width="10.42578125" style="23" bestFit="1" customWidth="1"/>
    <col min="11020" max="11020" width="12.5703125" style="23" customWidth="1"/>
    <col min="11021" max="11021" width="9.140625" style="23"/>
    <col min="11022" max="11022" width="14" style="23" customWidth="1"/>
    <col min="11023" max="11264" width="9.140625" style="23"/>
    <col min="11265" max="11265" width="11" style="23" bestFit="1" customWidth="1"/>
    <col min="11266" max="11266" width="14.85546875" style="23" customWidth="1"/>
    <col min="11267" max="11267" width="11" style="23" customWidth="1"/>
    <col min="11268" max="11268" width="11.28515625" style="23" customWidth="1"/>
    <col min="11269" max="11269" width="10.7109375" style="23" customWidth="1"/>
    <col min="11270" max="11270" width="9.140625" style="23"/>
    <col min="11271" max="11271" width="11.85546875" style="23" customWidth="1"/>
    <col min="11272" max="11272" width="0" style="23" hidden="1" customWidth="1"/>
    <col min="11273" max="11273" width="12.42578125" style="23" customWidth="1"/>
    <col min="11274" max="11274" width="0" style="23" hidden="1" customWidth="1"/>
    <col min="11275" max="11275" width="10.42578125" style="23" bestFit="1" customWidth="1"/>
    <col min="11276" max="11276" width="12.5703125" style="23" customWidth="1"/>
    <col min="11277" max="11277" width="9.140625" style="23"/>
    <col min="11278" max="11278" width="14" style="23" customWidth="1"/>
    <col min="11279" max="11520" width="9.140625" style="23"/>
    <col min="11521" max="11521" width="11" style="23" bestFit="1" customWidth="1"/>
    <col min="11522" max="11522" width="14.85546875" style="23" customWidth="1"/>
    <col min="11523" max="11523" width="11" style="23" customWidth="1"/>
    <col min="11524" max="11524" width="11.28515625" style="23" customWidth="1"/>
    <col min="11525" max="11525" width="10.7109375" style="23" customWidth="1"/>
    <col min="11526" max="11526" width="9.140625" style="23"/>
    <col min="11527" max="11527" width="11.85546875" style="23" customWidth="1"/>
    <col min="11528" max="11528" width="0" style="23" hidden="1" customWidth="1"/>
    <col min="11529" max="11529" width="12.42578125" style="23" customWidth="1"/>
    <col min="11530" max="11530" width="0" style="23" hidden="1" customWidth="1"/>
    <col min="11531" max="11531" width="10.42578125" style="23" bestFit="1" customWidth="1"/>
    <col min="11532" max="11532" width="12.5703125" style="23" customWidth="1"/>
    <col min="11533" max="11533" width="9.140625" style="23"/>
    <col min="11534" max="11534" width="14" style="23" customWidth="1"/>
    <col min="11535" max="11776" width="9.140625" style="23"/>
    <col min="11777" max="11777" width="11" style="23" bestFit="1" customWidth="1"/>
    <col min="11778" max="11778" width="14.85546875" style="23" customWidth="1"/>
    <col min="11779" max="11779" width="11" style="23" customWidth="1"/>
    <col min="11780" max="11780" width="11.28515625" style="23" customWidth="1"/>
    <col min="11781" max="11781" width="10.7109375" style="23" customWidth="1"/>
    <col min="11782" max="11782" width="9.140625" style="23"/>
    <col min="11783" max="11783" width="11.85546875" style="23" customWidth="1"/>
    <col min="11784" max="11784" width="0" style="23" hidden="1" customWidth="1"/>
    <col min="11785" max="11785" width="12.42578125" style="23" customWidth="1"/>
    <col min="11786" max="11786" width="0" style="23" hidden="1" customWidth="1"/>
    <col min="11787" max="11787" width="10.42578125" style="23" bestFit="1" customWidth="1"/>
    <col min="11788" max="11788" width="12.5703125" style="23" customWidth="1"/>
    <col min="11789" max="11789" width="9.140625" style="23"/>
    <col min="11790" max="11790" width="14" style="23" customWidth="1"/>
    <col min="11791" max="12032" width="9.140625" style="23"/>
    <col min="12033" max="12033" width="11" style="23" bestFit="1" customWidth="1"/>
    <col min="12034" max="12034" width="14.85546875" style="23" customWidth="1"/>
    <col min="12035" max="12035" width="11" style="23" customWidth="1"/>
    <col min="12036" max="12036" width="11.28515625" style="23" customWidth="1"/>
    <col min="12037" max="12037" width="10.7109375" style="23" customWidth="1"/>
    <col min="12038" max="12038" width="9.140625" style="23"/>
    <col min="12039" max="12039" width="11.85546875" style="23" customWidth="1"/>
    <col min="12040" max="12040" width="0" style="23" hidden="1" customWidth="1"/>
    <col min="12041" max="12041" width="12.42578125" style="23" customWidth="1"/>
    <col min="12042" max="12042" width="0" style="23" hidden="1" customWidth="1"/>
    <col min="12043" max="12043" width="10.42578125" style="23" bestFit="1" customWidth="1"/>
    <col min="12044" max="12044" width="12.5703125" style="23" customWidth="1"/>
    <col min="12045" max="12045" width="9.140625" style="23"/>
    <col min="12046" max="12046" width="14" style="23" customWidth="1"/>
    <col min="12047" max="12288" width="9.140625" style="23"/>
    <col min="12289" max="12289" width="11" style="23" bestFit="1" customWidth="1"/>
    <col min="12290" max="12290" width="14.85546875" style="23" customWidth="1"/>
    <col min="12291" max="12291" width="11" style="23" customWidth="1"/>
    <col min="12292" max="12292" width="11.28515625" style="23" customWidth="1"/>
    <col min="12293" max="12293" width="10.7109375" style="23" customWidth="1"/>
    <col min="12294" max="12294" width="9.140625" style="23"/>
    <col min="12295" max="12295" width="11.85546875" style="23" customWidth="1"/>
    <col min="12296" max="12296" width="0" style="23" hidden="1" customWidth="1"/>
    <col min="12297" max="12297" width="12.42578125" style="23" customWidth="1"/>
    <col min="12298" max="12298" width="0" style="23" hidden="1" customWidth="1"/>
    <col min="12299" max="12299" width="10.42578125" style="23" bestFit="1" customWidth="1"/>
    <col min="12300" max="12300" width="12.5703125" style="23" customWidth="1"/>
    <col min="12301" max="12301" width="9.140625" style="23"/>
    <col min="12302" max="12302" width="14" style="23" customWidth="1"/>
    <col min="12303" max="12544" width="9.140625" style="23"/>
    <col min="12545" max="12545" width="11" style="23" bestFit="1" customWidth="1"/>
    <col min="12546" max="12546" width="14.85546875" style="23" customWidth="1"/>
    <col min="12547" max="12547" width="11" style="23" customWidth="1"/>
    <col min="12548" max="12548" width="11.28515625" style="23" customWidth="1"/>
    <col min="12549" max="12549" width="10.7109375" style="23" customWidth="1"/>
    <col min="12550" max="12550" width="9.140625" style="23"/>
    <col min="12551" max="12551" width="11.85546875" style="23" customWidth="1"/>
    <col min="12552" max="12552" width="0" style="23" hidden="1" customWidth="1"/>
    <col min="12553" max="12553" width="12.42578125" style="23" customWidth="1"/>
    <col min="12554" max="12554" width="0" style="23" hidden="1" customWidth="1"/>
    <col min="12555" max="12555" width="10.42578125" style="23" bestFit="1" customWidth="1"/>
    <col min="12556" max="12556" width="12.5703125" style="23" customWidth="1"/>
    <col min="12557" max="12557" width="9.140625" style="23"/>
    <col min="12558" max="12558" width="14" style="23" customWidth="1"/>
    <col min="12559" max="12800" width="9.140625" style="23"/>
    <col min="12801" max="12801" width="11" style="23" bestFit="1" customWidth="1"/>
    <col min="12802" max="12802" width="14.85546875" style="23" customWidth="1"/>
    <col min="12803" max="12803" width="11" style="23" customWidth="1"/>
    <col min="12804" max="12804" width="11.28515625" style="23" customWidth="1"/>
    <col min="12805" max="12805" width="10.7109375" style="23" customWidth="1"/>
    <col min="12806" max="12806" width="9.140625" style="23"/>
    <col min="12807" max="12807" width="11.85546875" style="23" customWidth="1"/>
    <col min="12808" max="12808" width="0" style="23" hidden="1" customWidth="1"/>
    <col min="12809" max="12809" width="12.42578125" style="23" customWidth="1"/>
    <col min="12810" max="12810" width="0" style="23" hidden="1" customWidth="1"/>
    <col min="12811" max="12811" width="10.42578125" style="23" bestFit="1" customWidth="1"/>
    <col min="12812" max="12812" width="12.5703125" style="23" customWidth="1"/>
    <col min="12813" max="12813" width="9.140625" style="23"/>
    <col min="12814" max="12814" width="14" style="23" customWidth="1"/>
    <col min="12815" max="13056" width="9.140625" style="23"/>
    <col min="13057" max="13057" width="11" style="23" bestFit="1" customWidth="1"/>
    <col min="13058" max="13058" width="14.85546875" style="23" customWidth="1"/>
    <col min="13059" max="13059" width="11" style="23" customWidth="1"/>
    <col min="13060" max="13060" width="11.28515625" style="23" customWidth="1"/>
    <col min="13061" max="13061" width="10.7109375" style="23" customWidth="1"/>
    <col min="13062" max="13062" width="9.140625" style="23"/>
    <col min="13063" max="13063" width="11.85546875" style="23" customWidth="1"/>
    <col min="13064" max="13064" width="0" style="23" hidden="1" customWidth="1"/>
    <col min="13065" max="13065" width="12.42578125" style="23" customWidth="1"/>
    <col min="13066" max="13066" width="0" style="23" hidden="1" customWidth="1"/>
    <col min="13067" max="13067" width="10.42578125" style="23" bestFit="1" customWidth="1"/>
    <col min="13068" max="13068" width="12.5703125" style="23" customWidth="1"/>
    <col min="13069" max="13069" width="9.140625" style="23"/>
    <col min="13070" max="13070" width="14" style="23" customWidth="1"/>
    <col min="13071" max="13312" width="9.140625" style="23"/>
    <col min="13313" max="13313" width="11" style="23" bestFit="1" customWidth="1"/>
    <col min="13314" max="13314" width="14.85546875" style="23" customWidth="1"/>
    <col min="13315" max="13315" width="11" style="23" customWidth="1"/>
    <col min="13316" max="13316" width="11.28515625" style="23" customWidth="1"/>
    <col min="13317" max="13317" width="10.7109375" style="23" customWidth="1"/>
    <col min="13318" max="13318" width="9.140625" style="23"/>
    <col min="13319" max="13319" width="11.85546875" style="23" customWidth="1"/>
    <col min="13320" max="13320" width="0" style="23" hidden="1" customWidth="1"/>
    <col min="13321" max="13321" width="12.42578125" style="23" customWidth="1"/>
    <col min="13322" max="13322" width="0" style="23" hidden="1" customWidth="1"/>
    <col min="13323" max="13323" width="10.42578125" style="23" bestFit="1" customWidth="1"/>
    <col min="13324" max="13324" width="12.5703125" style="23" customWidth="1"/>
    <col min="13325" max="13325" width="9.140625" style="23"/>
    <col min="13326" max="13326" width="14" style="23" customWidth="1"/>
    <col min="13327" max="13568" width="9.140625" style="23"/>
    <col min="13569" max="13569" width="11" style="23" bestFit="1" customWidth="1"/>
    <col min="13570" max="13570" width="14.85546875" style="23" customWidth="1"/>
    <col min="13571" max="13571" width="11" style="23" customWidth="1"/>
    <col min="13572" max="13572" width="11.28515625" style="23" customWidth="1"/>
    <col min="13573" max="13573" width="10.7109375" style="23" customWidth="1"/>
    <col min="13574" max="13574" width="9.140625" style="23"/>
    <col min="13575" max="13575" width="11.85546875" style="23" customWidth="1"/>
    <col min="13576" max="13576" width="0" style="23" hidden="1" customWidth="1"/>
    <col min="13577" max="13577" width="12.42578125" style="23" customWidth="1"/>
    <col min="13578" max="13578" width="0" style="23" hidden="1" customWidth="1"/>
    <col min="13579" max="13579" width="10.42578125" style="23" bestFit="1" customWidth="1"/>
    <col min="13580" max="13580" width="12.5703125" style="23" customWidth="1"/>
    <col min="13581" max="13581" width="9.140625" style="23"/>
    <col min="13582" max="13582" width="14" style="23" customWidth="1"/>
    <col min="13583" max="13824" width="9.140625" style="23"/>
    <col min="13825" max="13825" width="11" style="23" bestFit="1" customWidth="1"/>
    <col min="13826" max="13826" width="14.85546875" style="23" customWidth="1"/>
    <col min="13827" max="13827" width="11" style="23" customWidth="1"/>
    <col min="13828" max="13828" width="11.28515625" style="23" customWidth="1"/>
    <col min="13829" max="13829" width="10.7109375" style="23" customWidth="1"/>
    <col min="13830" max="13830" width="9.140625" style="23"/>
    <col min="13831" max="13831" width="11.85546875" style="23" customWidth="1"/>
    <col min="13832" max="13832" width="0" style="23" hidden="1" customWidth="1"/>
    <col min="13833" max="13833" width="12.42578125" style="23" customWidth="1"/>
    <col min="13834" max="13834" width="0" style="23" hidden="1" customWidth="1"/>
    <col min="13835" max="13835" width="10.42578125" style="23" bestFit="1" customWidth="1"/>
    <col min="13836" max="13836" width="12.5703125" style="23" customWidth="1"/>
    <col min="13837" max="13837" width="9.140625" style="23"/>
    <col min="13838" max="13838" width="14" style="23" customWidth="1"/>
    <col min="13839" max="14080" width="9.140625" style="23"/>
    <col min="14081" max="14081" width="11" style="23" bestFit="1" customWidth="1"/>
    <col min="14082" max="14082" width="14.85546875" style="23" customWidth="1"/>
    <col min="14083" max="14083" width="11" style="23" customWidth="1"/>
    <col min="14084" max="14084" width="11.28515625" style="23" customWidth="1"/>
    <col min="14085" max="14085" width="10.7109375" style="23" customWidth="1"/>
    <col min="14086" max="14086" width="9.140625" style="23"/>
    <col min="14087" max="14087" width="11.85546875" style="23" customWidth="1"/>
    <col min="14088" max="14088" width="0" style="23" hidden="1" customWidth="1"/>
    <col min="14089" max="14089" width="12.42578125" style="23" customWidth="1"/>
    <col min="14090" max="14090" width="0" style="23" hidden="1" customWidth="1"/>
    <col min="14091" max="14091" width="10.42578125" style="23" bestFit="1" customWidth="1"/>
    <col min="14092" max="14092" width="12.5703125" style="23" customWidth="1"/>
    <col min="14093" max="14093" width="9.140625" style="23"/>
    <col min="14094" max="14094" width="14" style="23" customWidth="1"/>
    <col min="14095" max="14336" width="9.140625" style="23"/>
    <col min="14337" max="14337" width="11" style="23" bestFit="1" customWidth="1"/>
    <col min="14338" max="14338" width="14.85546875" style="23" customWidth="1"/>
    <col min="14339" max="14339" width="11" style="23" customWidth="1"/>
    <col min="14340" max="14340" width="11.28515625" style="23" customWidth="1"/>
    <col min="14341" max="14341" width="10.7109375" style="23" customWidth="1"/>
    <col min="14342" max="14342" width="9.140625" style="23"/>
    <col min="14343" max="14343" width="11.85546875" style="23" customWidth="1"/>
    <col min="14344" max="14344" width="0" style="23" hidden="1" customWidth="1"/>
    <col min="14345" max="14345" width="12.42578125" style="23" customWidth="1"/>
    <col min="14346" max="14346" width="0" style="23" hidden="1" customWidth="1"/>
    <col min="14347" max="14347" width="10.42578125" style="23" bestFit="1" customWidth="1"/>
    <col min="14348" max="14348" width="12.5703125" style="23" customWidth="1"/>
    <col min="14349" max="14349" width="9.140625" style="23"/>
    <col min="14350" max="14350" width="14" style="23" customWidth="1"/>
    <col min="14351" max="14592" width="9.140625" style="23"/>
    <col min="14593" max="14593" width="11" style="23" bestFit="1" customWidth="1"/>
    <col min="14594" max="14594" width="14.85546875" style="23" customWidth="1"/>
    <col min="14595" max="14595" width="11" style="23" customWidth="1"/>
    <col min="14596" max="14596" width="11.28515625" style="23" customWidth="1"/>
    <col min="14597" max="14597" width="10.7109375" style="23" customWidth="1"/>
    <col min="14598" max="14598" width="9.140625" style="23"/>
    <col min="14599" max="14599" width="11.85546875" style="23" customWidth="1"/>
    <col min="14600" max="14600" width="0" style="23" hidden="1" customWidth="1"/>
    <col min="14601" max="14601" width="12.42578125" style="23" customWidth="1"/>
    <col min="14602" max="14602" width="0" style="23" hidden="1" customWidth="1"/>
    <col min="14603" max="14603" width="10.42578125" style="23" bestFit="1" customWidth="1"/>
    <col min="14604" max="14604" width="12.5703125" style="23" customWidth="1"/>
    <col min="14605" max="14605" width="9.140625" style="23"/>
    <col min="14606" max="14606" width="14" style="23" customWidth="1"/>
    <col min="14607" max="14848" width="9.140625" style="23"/>
    <col min="14849" max="14849" width="11" style="23" bestFit="1" customWidth="1"/>
    <col min="14850" max="14850" width="14.85546875" style="23" customWidth="1"/>
    <col min="14851" max="14851" width="11" style="23" customWidth="1"/>
    <col min="14852" max="14852" width="11.28515625" style="23" customWidth="1"/>
    <col min="14853" max="14853" width="10.7109375" style="23" customWidth="1"/>
    <col min="14854" max="14854" width="9.140625" style="23"/>
    <col min="14855" max="14855" width="11.85546875" style="23" customWidth="1"/>
    <col min="14856" max="14856" width="0" style="23" hidden="1" customWidth="1"/>
    <col min="14857" max="14857" width="12.42578125" style="23" customWidth="1"/>
    <col min="14858" max="14858" width="0" style="23" hidden="1" customWidth="1"/>
    <col min="14859" max="14859" width="10.42578125" style="23" bestFit="1" customWidth="1"/>
    <col min="14860" max="14860" width="12.5703125" style="23" customWidth="1"/>
    <col min="14861" max="14861" width="9.140625" style="23"/>
    <col min="14862" max="14862" width="14" style="23" customWidth="1"/>
    <col min="14863" max="15104" width="9.140625" style="23"/>
    <col min="15105" max="15105" width="11" style="23" bestFit="1" customWidth="1"/>
    <col min="15106" max="15106" width="14.85546875" style="23" customWidth="1"/>
    <col min="15107" max="15107" width="11" style="23" customWidth="1"/>
    <col min="15108" max="15108" width="11.28515625" style="23" customWidth="1"/>
    <col min="15109" max="15109" width="10.7109375" style="23" customWidth="1"/>
    <col min="15110" max="15110" width="9.140625" style="23"/>
    <col min="15111" max="15111" width="11.85546875" style="23" customWidth="1"/>
    <col min="15112" max="15112" width="0" style="23" hidden="1" customWidth="1"/>
    <col min="15113" max="15113" width="12.42578125" style="23" customWidth="1"/>
    <col min="15114" max="15114" width="0" style="23" hidden="1" customWidth="1"/>
    <col min="15115" max="15115" width="10.42578125" style="23" bestFit="1" customWidth="1"/>
    <col min="15116" max="15116" width="12.5703125" style="23" customWidth="1"/>
    <col min="15117" max="15117" width="9.140625" style="23"/>
    <col min="15118" max="15118" width="14" style="23" customWidth="1"/>
    <col min="15119" max="15360" width="9.140625" style="23"/>
    <col min="15361" max="15361" width="11" style="23" bestFit="1" customWidth="1"/>
    <col min="15362" max="15362" width="14.85546875" style="23" customWidth="1"/>
    <col min="15363" max="15363" width="11" style="23" customWidth="1"/>
    <col min="15364" max="15364" width="11.28515625" style="23" customWidth="1"/>
    <col min="15365" max="15365" width="10.7109375" style="23" customWidth="1"/>
    <col min="15366" max="15366" width="9.140625" style="23"/>
    <col min="15367" max="15367" width="11.85546875" style="23" customWidth="1"/>
    <col min="15368" max="15368" width="0" style="23" hidden="1" customWidth="1"/>
    <col min="15369" max="15369" width="12.42578125" style="23" customWidth="1"/>
    <col min="15370" max="15370" width="0" style="23" hidden="1" customWidth="1"/>
    <col min="15371" max="15371" width="10.42578125" style="23" bestFit="1" customWidth="1"/>
    <col min="15372" max="15372" width="12.5703125" style="23" customWidth="1"/>
    <col min="15373" max="15373" width="9.140625" style="23"/>
    <col min="15374" max="15374" width="14" style="23" customWidth="1"/>
    <col min="15375" max="15616" width="9.140625" style="23"/>
    <col min="15617" max="15617" width="11" style="23" bestFit="1" customWidth="1"/>
    <col min="15618" max="15618" width="14.85546875" style="23" customWidth="1"/>
    <col min="15619" max="15619" width="11" style="23" customWidth="1"/>
    <col min="15620" max="15620" width="11.28515625" style="23" customWidth="1"/>
    <col min="15621" max="15621" width="10.7109375" style="23" customWidth="1"/>
    <col min="15622" max="15622" width="9.140625" style="23"/>
    <col min="15623" max="15623" width="11.85546875" style="23" customWidth="1"/>
    <col min="15624" max="15624" width="0" style="23" hidden="1" customWidth="1"/>
    <col min="15625" max="15625" width="12.42578125" style="23" customWidth="1"/>
    <col min="15626" max="15626" width="0" style="23" hidden="1" customWidth="1"/>
    <col min="15627" max="15627" width="10.42578125" style="23" bestFit="1" customWidth="1"/>
    <col min="15628" max="15628" width="12.5703125" style="23" customWidth="1"/>
    <col min="15629" max="15629" width="9.140625" style="23"/>
    <col min="15630" max="15630" width="14" style="23" customWidth="1"/>
    <col min="15631" max="15872" width="9.140625" style="23"/>
    <col min="15873" max="15873" width="11" style="23" bestFit="1" customWidth="1"/>
    <col min="15874" max="15874" width="14.85546875" style="23" customWidth="1"/>
    <col min="15875" max="15875" width="11" style="23" customWidth="1"/>
    <col min="15876" max="15876" width="11.28515625" style="23" customWidth="1"/>
    <col min="15877" max="15877" width="10.7109375" style="23" customWidth="1"/>
    <col min="15878" max="15878" width="9.140625" style="23"/>
    <col min="15879" max="15879" width="11.85546875" style="23" customWidth="1"/>
    <col min="15880" max="15880" width="0" style="23" hidden="1" customWidth="1"/>
    <col min="15881" max="15881" width="12.42578125" style="23" customWidth="1"/>
    <col min="15882" max="15882" width="0" style="23" hidden="1" customWidth="1"/>
    <col min="15883" max="15883" width="10.42578125" style="23" bestFit="1" customWidth="1"/>
    <col min="15884" max="15884" width="12.5703125" style="23" customWidth="1"/>
    <col min="15885" max="15885" width="9.140625" style="23"/>
    <col min="15886" max="15886" width="14" style="23" customWidth="1"/>
    <col min="15887" max="16128" width="9.140625" style="23"/>
    <col min="16129" max="16129" width="11" style="23" bestFit="1" customWidth="1"/>
    <col min="16130" max="16130" width="14.85546875" style="23" customWidth="1"/>
    <col min="16131" max="16131" width="11" style="23" customWidth="1"/>
    <col min="16132" max="16132" width="11.28515625" style="23" customWidth="1"/>
    <col min="16133" max="16133" width="10.7109375" style="23" customWidth="1"/>
    <col min="16134" max="16134" width="9.140625" style="23"/>
    <col min="16135" max="16135" width="11.85546875" style="23" customWidth="1"/>
    <col min="16136" max="16136" width="0" style="23" hidden="1" customWidth="1"/>
    <col min="16137" max="16137" width="12.42578125" style="23" customWidth="1"/>
    <col min="16138" max="16138" width="0" style="23" hidden="1" customWidth="1"/>
    <col min="16139" max="16139" width="10.42578125" style="23" bestFit="1" customWidth="1"/>
    <col min="16140" max="16140" width="12.5703125" style="23" customWidth="1"/>
    <col min="16141" max="16141" width="9.140625" style="23"/>
    <col min="16142" max="16142" width="14" style="23" customWidth="1"/>
    <col min="16143" max="16384" width="9.140625" style="23"/>
  </cols>
  <sheetData>
    <row r="1" spans="1:27" ht="13.5" customHeight="1" x14ac:dyDescent="0.25">
      <c r="A1" s="179" t="str">
        <f>'FRONT PAGE'!$A$1</f>
        <v>Columbine Therapy Services</v>
      </c>
      <c r="B1" s="179"/>
      <c r="C1" s="179"/>
      <c r="D1" s="179"/>
      <c r="E1" s="179"/>
      <c r="F1" s="179"/>
      <c r="G1" s="179"/>
      <c r="H1" s="179"/>
      <c r="I1" s="179"/>
      <c r="J1" s="20"/>
      <c r="K1" s="27" t="str">
        <f>+A14</f>
        <v>Total Physical Therapy</v>
      </c>
      <c r="L1" s="27"/>
      <c r="M1" s="27"/>
      <c r="N1" s="47">
        <f>+I14</f>
        <v>0</v>
      </c>
      <c r="Q1" s="2" t="str">
        <f>FORMULAS!K1</f>
        <v>PT</v>
      </c>
      <c r="R1" s="3">
        <v>1.7</v>
      </c>
      <c r="T1" s="2">
        <f>FORMULAS!K10</f>
        <v>92506</v>
      </c>
      <c r="U1" s="13">
        <f>FORMULAS!L10</f>
        <v>0</v>
      </c>
      <c r="V1" s="2">
        <f>FORMULAS!K20</f>
        <v>97110</v>
      </c>
      <c r="W1" s="13">
        <f>FORMULAS!L20</f>
        <v>24.982500000000002</v>
      </c>
      <c r="X1" s="2">
        <f>FORMULAS!K30</f>
        <v>97535</v>
      </c>
      <c r="Y1" s="13">
        <f>FORMULAS!L30</f>
        <v>22.515000000000001</v>
      </c>
      <c r="Z1" s="2">
        <f>FORMULAS!K40</f>
        <v>96111</v>
      </c>
      <c r="AA1" s="13">
        <f>FORMULAS!L40</f>
        <v>100.5</v>
      </c>
    </row>
    <row r="2" spans="1:27" s="51" customFormat="1" ht="12.95" customHeight="1" x14ac:dyDescent="0.25">
      <c r="A2" s="48" t="s">
        <v>26</v>
      </c>
      <c r="B2" s="48"/>
      <c r="C2" s="48"/>
      <c r="D2" s="48"/>
      <c r="E2" s="48"/>
      <c r="F2" s="48"/>
      <c r="G2" s="48"/>
      <c r="H2" s="48"/>
      <c r="I2" s="48"/>
      <c r="J2" s="49"/>
      <c r="K2" s="50" t="str">
        <f>+A21</f>
        <v>Total Occupational Therapy</v>
      </c>
      <c r="L2" s="50"/>
      <c r="M2" s="50"/>
      <c r="N2" s="47">
        <f>+I21</f>
        <v>0</v>
      </c>
      <c r="Q2" s="2" t="str">
        <f>FORMULAS!K2</f>
        <v>OT</v>
      </c>
      <c r="R2" s="3">
        <v>1.7</v>
      </c>
      <c r="T2" s="2">
        <f>FORMULAS!K11</f>
        <v>92507</v>
      </c>
      <c r="U2" s="13">
        <f>FORMULAS!L11</f>
        <v>60.465000000000003</v>
      </c>
      <c r="V2" s="2">
        <f>FORMULAS!K21</f>
        <v>97112</v>
      </c>
      <c r="W2" s="13">
        <f>FORMULAS!L21</f>
        <v>26.07</v>
      </c>
      <c r="X2" s="2">
        <f>FORMULAS!K31</f>
        <v>97542</v>
      </c>
      <c r="Y2" s="13">
        <f>FORMULAS!L31</f>
        <v>23.6175</v>
      </c>
      <c r="Z2" s="2">
        <f>FORMULAS!K41</f>
        <v>97012</v>
      </c>
      <c r="AA2" s="13">
        <f>FORMULAS!L41</f>
        <v>12.13</v>
      </c>
    </row>
    <row r="3" spans="1:27" ht="12" customHeight="1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7" t="str">
        <f>+A28</f>
        <v>Total Speech Therapy</v>
      </c>
      <c r="L3" s="27"/>
      <c r="M3" s="27"/>
      <c r="N3" s="52">
        <f>+I28</f>
        <v>0</v>
      </c>
      <c r="Q3" s="2" t="str">
        <f>FORMULAS!K3</f>
        <v>ST</v>
      </c>
      <c r="R3" s="3">
        <v>1.7</v>
      </c>
      <c r="T3" s="2">
        <f>FORMULAS!K12</f>
        <v>97033</v>
      </c>
      <c r="U3" s="13">
        <f>FORMULAS!L12</f>
        <v>16.844999999999999</v>
      </c>
      <c r="V3" s="2">
        <f>FORMULAS!K22</f>
        <v>97116</v>
      </c>
      <c r="W3" s="13">
        <f>FORMULAS!L22</f>
        <v>21.705000000000002</v>
      </c>
      <c r="X3" s="2">
        <f>FORMULAS!K32</f>
        <v>92610</v>
      </c>
      <c r="Y3" s="13">
        <f>FORMULAS!L32</f>
        <v>65.947500000000005</v>
      </c>
      <c r="Z3" s="2">
        <f>FORMULAS!K42</f>
        <v>92521</v>
      </c>
      <c r="AA3" s="13">
        <f>FORMULAS!L42</f>
        <v>85.192499999999995</v>
      </c>
    </row>
    <row r="4" spans="1:27" ht="12.6" customHeight="1" x14ac:dyDescent="0.2">
      <c r="A4" s="23" t="str">
        <f>'MCARE A'!A4</f>
        <v>Centre Ave Rehab</v>
      </c>
      <c r="G4" s="23" t="str">
        <f>'FRONT PAGE'!G4</f>
        <v>Invoice No:</v>
      </c>
      <c r="H4" s="23">
        <f>'FRONT PAGE'!H4</f>
        <v>0</v>
      </c>
      <c r="I4" s="115">
        <f>'FRONT PAGE'!$I$4</f>
        <v>0</v>
      </c>
      <c r="K4" s="27"/>
      <c r="L4" s="27"/>
      <c r="M4" s="27"/>
      <c r="Q4" s="2"/>
      <c r="R4" s="29"/>
      <c r="T4" s="2">
        <f>FORMULAS!K13</f>
        <v>92526</v>
      </c>
      <c r="U4" s="13">
        <f>FORMULAS!L13</f>
        <v>65.917500000000004</v>
      </c>
      <c r="V4" s="2">
        <f>FORMULAS!K23</f>
        <v>97124</v>
      </c>
      <c r="W4" s="13">
        <f>FORMULAS!L23</f>
        <v>20.092500000000001</v>
      </c>
      <c r="X4" s="2">
        <f>FORMULAS!K33</f>
        <v>96105</v>
      </c>
      <c r="Y4" s="13">
        <f>FORMULAS!L33</f>
        <v>82.44</v>
      </c>
      <c r="Z4" s="2">
        <f>FORMULAS!K43</f>
        <v>92522</v>
      </c>
      <c r="AA4" s="13">
        <f>FORMULAS!L43</f>
        <v>70.522500000000008</v>
      </c>
    </row>
    <row r="5" spans="1:27" ht="12.6" customHeight="1" thickBot="1" x14ac:dyDescent="0.25">
      <c r="A5" s="23" t="str">
        <f>'MCARE A'!A5</f>
        <v>Attn: Bookkeeping</v>
      </c>
      <c r="G5" s="23" t="str">
        <f>'FRONT PAGE'!G5</f>
        <v>Invoice Date:</v>
      </c>
      <c r="H5" s="23">
        <f>'FRONT PAGE'!H5</f>
        <v>0</v>
      </c>
      <c r="I5" s="116">
        <f>'FRONT PAGE'!I5</f>
        <v>0</v>
      </c>
      <c r="K5" s="27" t="s">
        <v>27</v>
      </c>
      <c r="L5" s="27"/>
      <c r="M5" s="27"/>
      <c r="N5" s="30">
        <f>SUM(N1:N3)</f>
        <v>0</v>
      </c>
      <c r="Q5" s="8"/>
      <c r="R5" s="8"/>
      <c r="T5" s="2">
        <f>FORMULAS!K14</f>
        <v>97001</v>
      </c>
      <c r="U5" s="13">
        <f>FORMULAS!L14</f>
        <v>57.12</v>
      </c>
      <c r="V5" s="2">
        <f>FORMULAS!K24</f>
        <v>97140</v>
      </c>
      <c r="W5" s="13">
        <f>FORMULAS!L24</f>
        <v>23.0625</v>
      </c>
      <c r="X5" s="2">
        <f>FORMULAS!K34</f>
        <v>92607</v>
      </c>
      <c r="Y5" s="13">
        <f>FORMULAS!L34</f>
        <v>97.987500000000011</v>
      </c>
      <c r="Z5" s="2">
        <f>FORMULAS!K44</f>
        <v>92523</v>
      </c>
      <c r="AA5" s="13">
        <f>FORMULAS!L44</f>
        <v>150.57750000000001</v>
      </c>
    </row>
    <row r="6" spans="1:27" ht="12.6" customHeight="1" thickTop="1" thickBot="1" x14ac:dyDescent="0.25">
      <c r="A6" s="23" t="str">
        <f>'MCARE A'!A6</f>
        <v>815 Centre Ave</v>
      </c>
      <c r="G6" s="8" t="str">
        <f>'FRONT PAGE'!G6</f>
        <v>Due Date:</v>
      </c>
      <c r="H6" s="23">
        <f>'FRONT PAGE'!H6</f>
        <v>0</v>
      </c>
      <c r="I6" s="116">
        <f>'FRONT PAGE'!I6</f>
        <v>0</v>
      </c>
      <c r="Q6" s="117"/>
      <c r="R6" s="31"/>
      <c r="T6" s="2">
        <f>FORMULAS!K15</f>
        <v>97002</v>
      </c>
      <c r="U6" s="13">
        <f>FORMULAS!L15</f>
        <v>32.08</v>
      </c>
      <c r="V6" s="2">
        <f>FORMULAS!K25</f>
        <v>97150</v>
      </c>
      <c r="W6" s="13">
        <f>FORMULAS!L25</f>
        <v>13.282500000000001</v>
      </c>
      <c r="X6" s="2">
        <f>FORMULAS!K35</f>
        <v>97024</v>
      </c>
      <c r="Y6" s="13">
        <f>FORMULAS!L35</f>
        <v>5.1825000000000001</v>
      </c>
      <c r="Z6" s="2">
        <f>FORMULAS!K45</f>
        <v>92524</v>
      </c>
      <c r="AA6" s="13">
        <f>FORMULAS!L45</f>
        <v>68.0625</v>
      </c>
    </row>
    <row r="7" spans="1:27" ht="12.95" customHeight="1" thickBot="1" x14ac:dyDescent="0.25">
      <c r="A7" s="23" t="str">
        <f>'MCARE A'!A7</f>
        <v>Fort Collins, CO  80526</v>
      </c>
      <c r="G7" s="8" t="s">
        <v>28</v>
      </c>
      <c r="I7" s="53">
        <f>SUM(I31)</f>
        <v>0</v>
      </c>
      <c r="Q7" s="117"/>
      <c r="R7" s="31"/>
      <c r="T7" s="2">
        <f>FORMULAS!K16</f>
        <v>97003</v>
      </c>
      <c r="U7" s="13">
        <f>FORMULAS!L16</f>
        <v>64.16</v>
      </c>
      <c r="V7" s="2">
        <f>FORMULAS!K26</f>
        <v>97760</v>
      </c>
      <c r="W7" s="13">
        <f>FORMULAS!L26</f>
        <v>29.355</v>
      </c>
      <c r="X7" s="2" t="str">
        <f>FORMULAS!K36</f>
        <v>GO283</v>
      </c>
      <c r="Y7" s="13">
        <f>FORMULAS!L36</f>
        <v>10.52</v>
      </c>
    </row>
    <row r="8" spans="1:27" ht="12" customHeight="1" x14ac:dyDescent="0.2">
      <c r="G8" s="8"/>
      <c r="I8" s="54"/>
      <c r="Q8" s="117"/>
      <c r="R8" s="31"/>
      <c r="T8" s="2">
        <f>FORMULAS!K17</f>
        <v>97004</v>
      </c>
      <c r="U8" s="13">
        <f>FORMULAS!L17</f>
        <v>40.200000000000003</v>
      </c>
      <c r="V8" s="2">
        <f>FORMULAS!K27</f>
        <v>97530</v>
      </c>
      <c r="W8" s="13">
        <f>FORMULAS!L27</f>
        <v>26.880000000000003</v>
      </c>
      <c r="X8" s="2">
        <f>FORMULAS!K37</f>
        <v>97761</v>
      </c>
      <c r="Y8" s="13">
        <f>FORMULAS!L37</f>
        <v>25.53</v>
      </c>
    </row>
    <row r="9" spans="1:27" ht="12" customHeight="1" x14ac:dyDescent="0.2">
      <c r="G9" s="8"/>
      <c r="I9" s="54"/>
      <c r="Q9" s="117"/>
      <c r="R9" s="31"/>
      <c r="T9" s="2">
        <f>FORMULAS!K18</f>
        <v>97032</v>
      </c>
      <c r="U9" s="13">
        <f>FORMULAS!L18</f>
        <v>14.662500000000001</v>
      </c>
      <c r="V9" s="2">
        <f>FORMULAS!K28</f>
        <v>97532</v>
      </c>
      <c r="W9" s="13">
        <f>FORMULAS!L28</f>
        <v>20.325000000000003</v>
      </c>
      <c r="X9" s="2">
        <f>FORMULAS!K38</f>
        <v>97762</v>
      </c>
      <c r="Y9" s="13">
        <f>FORMULAS!L38</f>
        <v>37.064999999999998</v>
      </c>
    </row>
    <row r="10" spans="1:27" x14ac:dyDescent="0.2">
      <c r="A10" s="8" t="s">
        <v>29</v>
      </c>
      <c r="Q10" s="2"/>
      <c r="R10" s="13"/>
      <c r="T10" s="2">
        <f>FORMULAS!K19</f>
        <v>97035</v>
      </c>
      <c r="U10" s="13">
        <f>FORMULAS!L19</f>
        <v>9.7650000000000006</v>
      </c>
      <c r="V10" s="2">
        <f>FORMULAS!K29</f>
        <v>97533</v>
      </c>
      <c r="W10" s="13">
        <f>FORMULAS!L29</f>
        <v>22.1</v>
      </c>
      <c r="X10" s="2">
        <f>FORMULAS!K39</f>
        <v>96125</v>
      </c>
      <c r="Y10" s="13">
        <f>FORMULAS!L39</f>
        <v>89.017499999999998</v>
      </c>
    </row>
    <row r="11" spans="1:27" x14ac:dyDescent="0.2">
      <c r="A11" s="8" t="s">
        <v>17</v>
      </c>
      <c r="D11" s="33" t="s">
        <v>18</v>
      </c>
      <c r="E11" s="119"/>
      <c r="F11" s="12" t="s">
        <v>30</v>
      </c>
      <c r="G11" s="12" t="s">
        <v>6</v>
      </c>
      <c r="H11" s="118"/>
      <c r="I11" s="55" t="s">
        <v>21</v>
      </c>
      <c r="Q11" s="2"/>
      <c r="R11" s="13"/>
    </row>
    <row r="12" spans="1:27" x14ac:dyDescent="0.2">
      <c r="A12" s="58"/>
      <c r="D12" s="36"/>
      <c r="E12" s="33"/>
      <c r="F12" s="144"/>
      <c r="G12" s="37">
        <f>IFERROR(VLOOKUP(A12, FORMULAS!#REF!, 2, FALSE), 0)</f>
        <v>0</v>
      </c>
      <c r="H12" s="8"/>
      <c r="I12" s="57">
        <f>G12*F12</f>
        <v>0</v>
      </c>
    </row>
    <row r="13" spans="1:27" x14ac:dyDescent="0.2">
      <c r="A13" s="58"/>
      <c r="D13" s="36"/>
      <c r="E13" s="33"/>
      <c r="F13" s="144"/>
      <c r="G13" s="42"/>
      <c r="H13" s="8"/>
      <c r="I13" s="57"/>
    </row>
    <row r="14" spans="1:27" ht="15" thickBot="1" x14ac:dyDescent="0.25">
      <c r="A14" s="8" t="s">
        <v>22</v>
      </c>
      <c r="D14" s="36"/>
      <c r="E14" s="36"/>
      <c r="F14" s="12">
        <f>SUM(F11:F13)</f>
        <v>0</v>
      </c>
      <c r="G14" s="42"/>
      <c r="H14" s="8"/>
      <c r="I14" s="61">
        <f>SUM(I11:J13)</f>
        <v>0</v>
      </c>
      <c r="K14" s="41">
        <f>SUM(I11:J13)</f>
        <v>0</v>
      </c>
    </row>
    <row r="15" spans="1:27" ht="15" thickTop="1" x14ac:dyDescent="0.2">
      <c r="A15" s="8"/>
      <c r="D15" s="36"/>
      <c r="E15" s="36"/>
      <c r="F15" s="12"/>
      <c r="G15" s="42"/>
      <c r="H15" s="8"/>
      <c r="I15" s="54"/>
      <c r="K15" s="62"/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 spans="1:27" x14ac:dyDescent="0.2">
      <c r="A16" s="8"/>
      <c r="D16" s="36"/>
      <c r="E16" s="36"/>
      <c r="F16" s="12"/>
      <c r="G16" s="42"/>
      <c r="H16" s="8"/>
      <c r="I16" s="54"/>
      <c r="K16" s="62"/>
    </row>
    <row r="17" spans="1:25" x14ac:dyDescent="0.2">
      <c r="A17" s="8" t="s">
        <v>31</v>
      </c>
      <c r="D17" s="36"/>
      <c r="E17" s="36"/>
      <c r="F17" s="118"/>
      <c r="G17" s="42"/>
    </row>
    <row r="18" spans="1:25" x14ac:dyDescent="0.2">
      <c r="A18" s="8" t="str">
        <f>+A11</f>
        <v>Patient Name</v>
      </c>
      <c r="D18" s="33" t="s">
        <v>18</v>
      </c>
      <c r="E18" s="36"/>
      <c r="F18" s="12" t="str">
        <f>+F11</f>
        <v>Units</v>
      </c>
      <c r="G18" s="44" t="s">
        <v>6</v>
      </c>
      <c r="H18" s="8">
        <f>+H11</f>
        <v>0</v>
      </c>
      <c r="I18" s="12" t="str">
        <f>+I11</f>
        <v>Total</v>
      </c>
    </row>
    <row r="19" spans="1:25" x14ac:dyDescent="0.2">
      <c r="A19" s="8"/>
      <c r="D19" s="33"/>
      <c r="E19" s="36"/>
      <c r="F19" s="12"/>
      <c r="G19" s="37">
        <f>IFERROR(VLOOKUP(A19, FORMULAS!#REF!, 2, FALSE), 0)</f>
        <v>0</v>
      </c>
      <c r="H19" s="8"/>
      <c r="I19" s="57">
        <f>G19*F19</f>
        <v>0</v>
      </c>
    </row>
    <row r="20" spans="1:25" ht="12" customHeight="1" x14ac:dyDescent="0.2">
      <c r="A20" s="124" t="s">
        <v>32</v>
      </c>
      <c r="D20" s="36"/>
      <c r="E20" s="36"/>
      <c r="F20" s="118"/>
      <c r="G20" s="42"/>
      <c r="H20" s="8"/>
      <c r="I20" s="57"/>
    </row>
    <row r="21" spans="1:25" ht="15" thickBot="1" x14ac:dyDescent="0.25">
      <c r="A21" s="8" t="s">
        <v>23</v>
      </c>
      <c r="D21" s="33"/>
      <c r="E21" s="36"/>
      <c r="F21" s="12">
        <f>SUM(F18:F20)</f>
        <v>0</v>
      </c>
      <c r="G21" s="42"/>
      <c r="H21" s="8"/>
      <c r="I21" s="61">
        <f>SUM(I18:J20)</f>
        <v>0</v>
      </c>
      <c r="K21" s="41">
        <f>SUM(I18:I20)</f>
        <v>0</v>
      </c>
    </row>
    <row r="22" spans="1:25" ht="15" thickTop="1" x14ac:dyDescent="0.2">
      <c r="A22" s="8"/>
      <c r="D22" s="36"/>
      <c r="E22" s="36"/>
      <c r="F22" s="12"/>
      <c r="G22" s="42"/>
      <c r="H22" s="8"/>
      <c r="I22" s="54"/>
      <c r="K22" s="62"/>
    </row>
    <row r="23" spans="1:25" x14ac:dyDescent="0.2">
      <c r="A23" s="8"/>
      <c r="D23" s="36"/>
      <c r="E23" s="36"/>
      <c r="F23" s="12"/>
      <c r="G23" s="42"/>
      <c r="H23" s="8"/>
      <c r="I23" s="54"/>
      <c r="K23" s="62"/>
    </row>
    <row r="24" spans="1:25" x14ac:dyDescent="0.2">
      <c r="A24" s="8" t="s">
        <v>33</v>
      </c>
      <c r="B24" s="31"/>
      <c r="C24" s="31"/>
      <c r="D24" s="33" t="s">
        <v>18</v>
      </c>
      <c r="E24" s="36"/>
      <c r="F24" s="118"/>
      <c r="G24" s="42"/>
    </row>
    <row r="25" spans="1:25" x14ac:dyDescent="0.2">
      <c r="A25" s="8" t="str">
        <f>+A11</f>
        <v>Patient Name</v>
      </c>
      <c r="B25" s="31"/>
      <c r="C25" s="31"/>
      <c r="D25" s="36"/>
      <c r="E25" s="36"/>
      <c r="F25" s="12" t="str">
        <f>+F11</f>
        <v>Units</v>
      </c>
      <c r="G25" s="44" t="s">
        <v>6</v>
      </c>
      <c r="H25" s="12">
        <f>+H11</f>
        <v>0</v>
      </c>
      <c r="I25" s="12" t="str">
        <f>+I11</f>
        <v>Total</v>
      </c>
    </row>
    <row r="26" spans="1:25" x14ac:dyDescent="0.2">
      <c r="A26" s="8"/>
      <c r="B26" s="31"/>
      <c r="C26" s="31"/>
      <c r="D26" s="36"/>
      <c r="E26" s="36"/>
      <c r="F26" s="12"/>
      <c r="G26" s="37">
        <f>IFERROR(VLOOKUP(A26, FORMULAS!#REF!, 2, FALSE), 0)</f>
        <v>0</v>
      </c>
      <c r="H26" s="12"/>
      <c r="I26" s="57">
        <f>G26*F26</f>
        <v>0</v>
      </c>
    </row>
    <row r="27" spans="1:25" s="31" customFormat="1" x14ac:dyDescent="0.2">
      <c r="A27" s="58"/>
      <c r="B27" s="8"/>
      <c r="D27" s="36"/>
      <c r="E27" s="36"/>
      <c r="F27" s="64"/>
      <c r="G27" s="42"/>
      <c r="H27" s="42"/>
      <c r="I27" s="57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4.1" customHeight="1" thickBot="1" x14ac:dyDescent="0.25">
      <c r="A28" s="8" t="s">
        <v>14</v>
      </c>
      <c r="B28" s="31"/>
      <c r="C28" s="31"/>
      <c r="D28" s="31"/>
      <c r="E28" s="35"/>
      <c r="F28" s="12">
        <f>SUM(F25:F25)</f>
        <v>0</v>
      </c>
      <c r="G28" s="12"/>
      <c r="H28" s="31"/>
      <c r="I28" s="65">
        <f>SUM(I25:J25)</f>
        <v>0</v>
      </c>
      <c r="K28" s="66">
        <f>SUM(I25:I25)</f>
        <v>0</v>
      </c>
    </row>
    <row r="29" spans="1:25" ht="12" customHeight="1" thickTop="1" x14ac:dyDescent="0.2">
      <c r="G29" s="67"/>
      <c r="H29" s="68"/>
      <c r="I29" s="68"/>
    </row>
    <row r="30" spans="1:25" ht="12" customHeight="1" thickBot="1" x14ac:dyDescent="0.25"/>
    <row r="31" spans="1:25" ht="15" thickBot="1" x14ac:dyDescent="0.25">
      <c r="F31" s="67" t="s">
        <v>34</v>
      </c>
      <c r="G31" s="8"/>
      <c r="H31" s="8"/>
      <c r="I31" s="53">
        <f>SUM(I28,I21,I14)</f>
        <v>0</v>
      </c>
      <c r="L31" s="69">
        <f>SUM(K14:K30)</f>
        <v>0</v>
      </c>
    </row>
    <row r="32" spans="1:25" x14ac:dyDescent="0.2">
      <c r="F32" s="67"/>
      <c r="G32" s="8"/>
      <c r="H32" s="8"/>
      <c r="I32" s="54"/>
    </row>
    <row r="33" spans="1:3" ht="12" customHeight="1" x14ac:dyDescent="0.2">
      <c r="A33" s="23" t="str">
        <f>'MCARE A'!A29</f>
        <v>Remit to Address:</v>
      </c>
    </row>
    <row r="34" spans="1:3" ht="12" customHeight="1" x14ac:dyDescent="0.2">
      <c r="A34" s="8" t="str">
        <f>'MCARE A'!A30</f>
        <v>Columbine Therapy Services</v>
      </c>
      <c r="B34" s="8"/>
      <c r="C34" s="8"/>
    </row>
    <row r="35" spans="1:3" ht="12" customHeight="1" x14ac:dyDescent="0.2">
      <c r="A35" s="8" t="str">
        <f>'MCARE A'!A31</f>
        <v>802 West Drake Road Suite 145</v>
      </c>
      <c r="B35" s="8"/>
      <c r="C35" s="8"/>
    </row>
    <row r="36" spans="1:3" ht="12" customHeight="1" x14ac:dyDescent="0.2">
      <c r="A36" s="8" t="str">
        <f>'MCARE A'!A32</f>
        <v>Fort Collins, CO 80526</v>
      </c>
      <c r="B36" s="8"/>
      <c r="C36" s="8"/>
    </row>
    <row r="37" spans="1:3" ht="12" customHeight="1" x14ac:dyDescent="0.2">
      <c r="A37" s="8" t="str">
        <f>'MCARE A'!A33</f>
        <v>Phone # (970) 492-6238</v>
      </c>
      <c r="B37" s="8"/>
      <c r="C37" s="8"/>
    </row>
    <row r="38" spans="1:3" ht="12" customHeight="1" x14ac:dyDescent="0.2">
      <c r="A38" s="8" t="str">
        <f>'MCARE A'!A34</f>
        <v>Fax #   (970) 492-6205</v>
      </c>
      <c r="B38" s="8"/>
      <c r="C38" s="8"/>
    </row>
    <row r="39" spans="1:3" ht="12" customHeight="1" x14ac:dyDescent="0.2">
      <c r="A39" s="8" t="str">
        <f>'MCARE A'!A35</f>
        <v>Fed Tax ID #</v>
      </c>
      <c r="B39" s="8"/>
      <c r="C39" s="8" t="str">
        <f>'MCARE A'!C35</f>
        <v>84-1412876</v>
      </c>
    </row>
  </sheetData>
  <mergeCells count="1">
    <mergeCell ref="A1:I1"/>
  </mergeCells>
  <pageMargins left="0.7" right="0.7" top="0.75" bottom="0.75" header="0.3" footer="0.3"/>
  <pageSetup orientation="portrait" r:id="rId1"/>
  <headerFooter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3"/>
  <sheetViews>
    <sheetView zoomScaleNormal="100" workbookViewId="0">
      <selection activeCell="I38" sqref="I38"/>
    </sheetView>
  </sheetViews>
  <sheetFormatPr defaultRowHeight="14.25" x14ac:dyDescent="0.2"/>
  <cols>
    <col min="1" max="1" width="12" style="23" customWidth="1"/>
    <col min="2" max="2" width="9" style="23" customWidth="1"/>
    <col min="3" max="3" width="12.42578125" style="23" customWidth="1"/>
    <col min="4" max="4" width="12.7109375" style="23" customWidth="1"/>
    <col min="5" max="5" width="6.140625" style="23" customWidth="1"/>
    <col min="6" max="6" width="8.140625" style="114" customWidth="1"/>
    <col min="7" max="7" width="12.28515625" style="23" customWidth="1"/>
    <col min="8" max="8" width="6.42578125" style="23" hidden="1" customWidth="1"/>
    <col min="9" max="9" width="18.42578125" style="118" customWidth="1"/>
    <col min="10" max="10" width="9.42578125" style="23" hidden="1" customWidth="1"/>
    <col min="11" max="11" width="11.7109375" style="23" customWidth="1"/>
    <col min="12" max="12" width="8.42578125" style="23" customWidth="1"/>
    <col min="13" max="13" width="11.28515625" style="23" customWidth="1"/>
    <col min="14" max="14" width="15.42578125" style="23" customWidth="1"/>
    <col min="15" max="15" width="12.28515625" style="23" customWidth="1"/>
    <col min="16" max="16" width="9.140625" style="23"/>
    <col min="17" max="17" width="11.28515625" style="117" customWidth="1"/>
    <col min="18" max="18" width="13" style="31" customWidth="1"/>
    <col min="19" max="256" width="9.140625" style="23"/>
    <col min="257" max="257" width="12" style="23" customWidth="1"/>
    <col min="258" max="258" width="11.85546875" style="23" customWidth="1"/>
    <col min="259" max="259" width="15.7109375" style="23" customWidth="1"/>
    <col min="260" max="260" width="10.42578125" style="23" customWidth="1"/>
    <col min="261" max="261" width="9.28515625" style="23" customWidth="1"/>
    <col min="262" max="262" width="9.140625" style="23"/>
    <col min="263" max="263" width="10" style="23" customWidth="1"/>
    <col min="264" max="264" width="0" style="23" hidden="1" customWidth="1"/>
    <col min="265" max="265" width="15.140625" style="23" customWidth="1"/>
    <col min="266" max="266" width="0" style="23" hidden="1" customWidth="1"/>
    <col min="267" max="267" width="11.7109375" style="23" customWidth="1"/>
    <col min="268" max="268" width="8.42578125" style="23" customWidth="1"/>
    <col min="269" max="269" width="11.28515625" style="23" customWidth="1"/>
    <col min="270" max="270" width="15.42578125" style="23" customWidth="1"/>
    <col min="271" max="271" width="12.28515625" style="23" customWidth="1"/>
    <col min="272" max="272" width="9.140625" style="23"/>
    <col min="273" max="273" width="11.28515625" style="23" customWidth="1"/>
    <col min="274" max="274" width="13" style="23" customWidth="1"/>
    <col min="275" max="512" width="9.140625" style="23"/>
    <col min="513" max="513" width="12" style="23" customWidth="1"/>
    <col min="514" max="514" width="11.85546875" style="23" customWidth="1"/>
    <col min="515" max="515" width="15.7109375" style="23" customWidth="1"/>
    <col min="516" max="516" width="10.42578125" style="23" customWidth="1"/>
    <col min="517" max="517" width="9.28515625" style="23" customWidth="1"/>
    <col min="518" max="518" width="9.140625" style="23"/>
    <col min="519" max="519" width="10" style="23" customWidth="1"/>
    <col min="520" max="520" width="0" style="23" hidden="1" customWidth="1"/>
    <col min="521" max="521" width="15.140625" style="23" customWidth="1"/>
    <col min="522" max="522" width="0" style="23" hidden="1" customWidth="1"/>
    <col min="523" max="523" width="11.7109375" style="23" customWidth="1"/>
    <col min="524" max="524" width="8.42578125" style="23" customWidth="1"/>
    <col min="525" max="525" width="11.28515625" style="23" customWidth="1"/>
    <col min="526" max="526" width="15.42578125" style="23" customWidth="1"/>
    <col min="527" max="527" width="12.28515625" style="23" customWidth="1"/>
    <col min="528" max="528" width="9.140625" style="23"/>
    <col min="529" max="529" width="11.28515625" style="23" customWidth="1"/>
    <col min="530" max="530" width="13" style="23" customWidth="1"/>
    <col min="531" max="768" width="9.140625" style="23"/>
    <col min="769" max="769" width="12" style="23" customWidth="1"/>
    <col min="770" max="770" width="11.85546875" style="23" customWidth="1"/>
    <col min="771" max="771" width="15.7109375" style="23" customWidth="1"/>
    <col min="772" max="772" width="10.42578125" style="23" customWidth="1"/>
    <col min="773" max="773" width="9.28515625" style="23" customWidth="1"/>
    <col min="774" max="774" width="9.140625" style="23"/>
    <col min="775" max="775" width="10" style="23" customWidth="1"/>
    <col min="776" max="776" width="0" style="23" hidden="1" customWidth="1"/>
    <col min="777" max="777" width="15.140625" style="23" customWidth="1"/>
    <col min="778" max="778" width="0" style="23" hidden="1" customWidth="1"/>
    <col min="779" max="779" width="11.7109375" style="23" customWidth="1"/>
    <col min="780" max="780" width="8.42578125" style="23" customWidth="1"/>
    <col min="781" max="781" width="11.28515625" style="23" customWidth="1"/>
    <col min="782" max="782" width="15.42578125" style="23" customWidth="1"/>
    <col min="783" max="783" width="12.28515625" style="23" customWidth="1"/>
    <col min="784" max="784" width="9.140625" style="23"/>
    <col min="785" max="785" width="11.28515625" style="23" customWidth="1"/>
    <col min="786" max="786" width="13" style="23" customWidth="1"/>
    <col min="787" max="1024" width="9.140625" style="23"/>
    <col min="1025" max="1025" width="12" style="23" customWidth="1"/>
    <col min="1026" max="1026" width="11.85546875" style="23" customWidth="1"/>
    <col min="1027" max="1027" width="15.7109375" style="23" customWidth="1"/>
    <col min="1028" max="1028" width="10.42578125" style="23" customWidth="1"/>
    <col min="1029" max="1029" width="9.28515625" style="23" customWidth="1"/>
    <col min="1030" max="1030" width="9.140625" style="23"/>
    <col min="1031" max="1031" width="10" style="23" customWidth="1"/>
    <col min="1032" max="1032" width="0" style="23" hidden="1" customWidth="1"/>
    <col min="1033" max="1033" width="15.140625" style="23" customWidth="1"/>
    <col min="1034" max="1034" width="0" style="23" hidden="1" customWidth="1"/>
    <col min="1035" max="1035" width="11.7109375" style="23" customWidth="1"/>
    <col min="1036" max="1036" width="8.42578125" style="23" customWidth="1"/>
    <col min="1037" max="1037" width="11.28515625" style="23" customWidth="1"/>
    <col min="1038" max="1038" width="15.42578125" style="23" customWidth="1"/>
    <col min="1039" max="1039" width="12.28515625" style="23" customWidth="1"/>
    <col min="1040" max="1040" width="9.140625" style="23"/>
    <col min="1041" max="1041" width="11.28515625" style="23" customWidth="1"/>
    <col min="1042" max="1042" width="13" style="23" customWidth="1"/>
    <col min="1043" max="1280" width="9.140625" style="23"/>
    <col min="1281" max="1281" width="12" style="23" customWidth="1"/>
    <col min="1282" max="1282" width="11.85546875" style="23" customWidth="1"/>
    <col min="1283" max="1283" width="15.7109375" style="23" customWidth="1"/>
    <col min="1284" max="1284" width="10.42578125" style="23" customWidth="1"/>
    <col min="1285" max="1285" width="9.28515625" style="23" customWidth="1"/>
    <col min="1286" max="1286" width="9.140625" style="23"/>
    <col min="1287" max="1287" width="10" style="23" customWidth="1"/>
    <col min="1288" max="1288" width="0" style="23" hidden="1" customWidth="1"/>
    <col min="1289" max="1289" width="15.140625" style="23" customWidth="1"/>
    <col min="1290" max="1290" width="0" style="23" hidden="1" customWidth="1"/>
    <col min="1291" max="1291" width="11.7109375" style="23" customWidth="1"/>
    <col min="1292" max="1292" width="8.42578125" style="23" customWidth="1"/>
    <col min="1293" max="1293" width="11.28515625" style="23" customWidth="1"/>
    <col min="1294" max="1294" width="15.42578125" style="23" customWidth="1"/>
    <col min="1295" max="1295" width="12.28515625" style="23" customWidth="1"/>
    <col min="1296" max="1296" width="9.140625" style="23"/>
    <col min="1297" max="1297" width="11.28515625" style="23" customWidth="1"/>
    <col min="1298" max="1298" width="13" style="23" customWidth="1"/>
    <col min="1299" max="1536" width="9.140625" style="23"/>
    <col min="1537" max="1537" width="12" style="23" customWidth="1"/>
    <col min="1538" max="1538" width="11.85546875" style="23" customWidth="1"/>
    <col min="1539" max="1539" width="15.7109375" style="23" customWidth="1"/>
    <col min="1540" max="1540" width="10.42578125" style="23" customWidth="1"/>
    <col min="1541" max="1541" width="9.28515625" style="23" customWidth="1"/>
    <col min="1542" max="1542" width="9.140625" style="23"/>
    <col min="1543" max="1543" width="10" style="23" customWidth="1"/>
    <col min="1544" max="1544" width="0" style="23" hidden="1" customWidth="1"/>
    <col min="1545" max="1545" width="15.140625" style="23" customWidth="1"/>
    <col min="1546" max="1546" width="0" style="23" hidden="1" customWidth="1"/>
    <col min="1547" max="1547" width="11.7109375" style="23" customWidth="1"/>
    <col min="1548" max="1548" width="8.42578125" style="23" customWidth="1"/>
    <col min="1549" max="1549" width="11.28515625" style="23" customWidth="1"/>
    <col min="1550" max="1550" width="15.42578125" style="23" customWidth="1"/>
    <col min="1551" max="1551" width="12.28515625" style="23" customWidth="1"/>
    <col min="1552" max="1552" width="9.140625" style="23"/>
    <col min="1553" max="1553" width="11.28515625" style="23" customWidth="1"/>
    <col min="1554" max="1554" width="13" style="23" customWidth="1"/>
    <col min="1555" max="1792" width="9.140625" style="23"/>
    <col min="1793" max="1793" width="12" style="23" customWidth="1"/>
    <col min="1794" max="1794" width="11.85546875" style="23" customWidth="1"/>
    <col min="1795" max="1795" width="15.7109375" style="23" customWidth="1"/>
    <col min="1796" max="1796" width="10.42578125" style="23" customWidth="1"/>
    <col min="1797" max="1797" width="9.28515625" style="23" customWidth="1"/>
    <col min="1798" max="1798" width="9.140625" style="23"/>
    <col min="1799" max="1799" width="10" style="23" customWidth="1"/>
    <col min="1800" max="1800" width="0" style="23" hidden="1" customWidth="1"/>
    <col min="1801" max="1801" width="15.140625" style="23" customWidth="1"/>
    <col min="1802" max="1802" width="0" style="23" hidden="1" customWidth="1"/>
    <col min="1803" max="1803" width="11.7109375" style="23" customWidth="1"/>
    <col min="1804" max="1804" width="8.42578125" style="23" customWidth="1"/>
    <col min="1805" max="1805" width="11.28515625" style="23" customWidth="1"/>
    <col min="1806" max="1806" width="15.42578125" style="23" customWidth="1"/>
    <col min="1807" max="1807" width="12.28515625" style="23" customWidth="1"/>
    <col min="1808" max="1808" width="9.140625" style="23"/>
    <col min="1809" max="1809" width="11.28515625" style="23" customWidth="1"/>
    <col min="1810" max="1810" width="13" style="23" customWidth="1"/>
    <col min="1811" max="2048" width="9.140625" style="23"/>
    <col min="2049" max="2049" width="12" style="23" customWidth="1"/>
    <col min="2050" max="2050" width="11.85546875" style="23" customWidth="1"/>
    <col min="2051" max="2051" width="15.7109375" style="23" customWidth="1"/>
    <col min="2052" max="2052" width="10.42578125" style="23" customWidth="1"/>
    <col min="2053" max="2053" width="9.28515625" style="23" customWidth="1"/>
    <col min="2054" max="2054" width="9.140625" style="23"/>
    <col min="2055" max="2055" width="10" style="23" customWidth="1"/>
    <col min="2056" max="2056" width="0" style="23" hidden="1" customWidth="1"/>
    <col min="2057" max="2057" width="15.140625" style="23" customWidth="1"/>
    <col min="2058" max="2058" width="0" style="23" hidden="1" customWidth="1"/>
    <col min="2059" max="2059" width="11.7109375" style="23" customWidth="1"/>
    <col min="2060" max="2060" width="8.42578125" style="23" customWidth="1"/>
    <col min="2061" max="2061" width="11.28515625" style="23" customWidth="1"/>
    <col min="2062" max="2062" width="15.42578125" style="23" customWidth="1"/>
    <col min="2063" max="2063" width="12.28515625" style="23" customWidth="1"/>
    <col min="2064" max="2064" width="9.140625" style="23"/>
    <col min="2065" max="2065" width="11.28515625" style="23" customWidth="1"/>
    <col min="2066" max="2066" width="13" style="23" customWidth="1"/>
    <col min="2067" max="2304" width="9.140625" style="23"/>
    <col min="2305" max="2305" width="12" style="23" customWidth="1"/>
    <col min="2306" max="2306" width="11.85546875" style="23" customWidth="1"/>
    <col min="2307" max="2307" width="15.7109375" style="23" customWidth="1"/>
    <col min="2308" max="2308" width="10.42578125" style="23" customWidth="1"/>
    <col min="2309" max="2309" width="9.28515625" style="23" customWidth="1"/>
    <col min="2310" max="2310" width="9.140625" style="23"/>
    <col min="2311" max="2311" width="10" style="23" customWidth="1"/>
    <col min="2312" max="2312" width="0" style="23" hidden="1" customWidth="1"/>
    <col min="2313" max="2313" width="15.140625" style="23" customWidth="1"/>
    <col min="2314" max="2314" width="0" style="23" hidden="1" customWidth="1"/>
    <col min="2315" max="2315" width="11.7109375" style="23" customWidth="1"/>
    <col min="2316" max="2316" width="8.42578125" style="23" customWidth="1"/>
    <col min="2317" max="2317" width="11.28515625" style="23" customWidth="1"/>
    <col min="2318" max="2318" width="15.42578125" style="23" customWidth="1"/>
    <col min="2319" max="2319" width="12.28515625" style="23" customWidth="1"/>
    <col min="2320" max="2320" width="9.140625" style="23"/>
    <col min="2321" max="2321" width="11.28515625" style="23" customWidth="1"/>
    <col min="2322" max="2322" width="13" style="23" customWidth="1"/>
    <col min="2323" max="2560" width="9.140625" style="23"/>
    <col min="2561" max="2561" width="12" style="23" customWidth="1"/>
    <col min="2562" max="2562" width="11.85546875" style="23" customWidth="1"/>
    <col min="2563" max="2563" width="15.7109375" style="23" customWidth="1"/>
    <col min="2564" max="2564" width="10.42578125" style="23" customWidth="1"/>
    <col min="2565" max="2565" width="9.28515625" style="23" customWidth="1"/>
    <col min="2566" max="2566" width="9.140625" style="23"/>
    <col min="2567" max="2567" width="10" style="23" customWidth="1"/>
    <col min="2568" max="2568" width="0" style="23" hidden="1" customWidth="1"/>
    <col min="2569" max="2569" width="15.140625" style="23" customWidth="1"/>
    <col min="2570" max="2570" width="0" style="23" hidden="1" customWidth="1"/>
    <col min="2571" max="2571" width="11.7109375" style="23" customWidth="1"/>
    <col min="2572" max="2572" width="8.42578125" style="23" customWidth="1"/>
    <col min="2573" max="2573" width="11.28515625" style="23" customWidth="1"/>
    <col min="2574" max="2574" width="15.42578125" style="23" customWidth="1"/>
    <col min="2575" max="2575" width="12.28515625" style="23" customWidth="1"/>
    <col min="2576" max="2576" width="9.140625" style="23"/>
    <col min="2577" max="2577" width="11.28515625" style="23" customWidth="1"/>
    <col min="2578" max="2578" width="13" style="23" customWidth="1"/>
    <col min="2579" max="2816" width="9.140625" style="23"/>
    <col min="2817" max="2817" width="12" style="23" customWidth="1"/>
    <col min="2818" max="2818" width="11.85546875" style="23" customWidth="1"/>
    <col min="2819" max="2819" width="15.7109375" style="23" customWidth="1"/>
    <col min="2820" max="2820" width="10.42578125" style="23" customWidth="1"/>
    <col min="2821" max="2821" width="9.28515625" style="23" customWidth="1"/>
    <col min="2822" max="2822" width="9.140625" style="23"/>
    <col min="2823" max="2823" width="10" style="23" customWidth="1"/>
    <col min="2824" max="2824" width="0" style="23" hidden="1" customWidth="1"/>
    <col min="2825" max="2825" width="15.140625" style="23" customWidth="1"/>
    <col min="2826" max="2826" width="0" style="23" hidden="1" customWidth="1"/>
    <col min="2827" max="2827" width="11.7109375" style="23" customWidth="1"/>
    <col min="2828" max="2828" width="8.42578125" style="23" customWidth="1"/>
    <col min="2829" max="2829" width="11.28515625" style="23" customWidth="1"/>
    <col min="2830" max="2830" width="15.42578125" style="23" customWidth="1"/>
    <col min="2831" max="2831" width="12.28515625" style="23" customWidth="1"/>
    <col min="2832" max="2832" width="9.140625" style="23"/>
    <col min="2833" max="2833" width="11.28515625" style="23" customWidth="1"/>
    <col min="2834" max="2834" width="13" style="23" customWidth="1"/>
    <col min="2835" max="3072" width="9.140625" style="23"/>
    <col min="3073" max="3073" width="12" style="23" customWidth="1"/>
    <col min="3074" max="3074" width="11.85546875" style="23" customWidth="1"/>
    <col min="3075" max="3075" width="15.7109375" style="23" customWidth="1"/>
    <col min="3076" max="3076" width="10.42578125" style="23" customWidth="1"/>
    <col min="3077" max="3077" width="9.28515625" style="23" customWidth="1"/>
    <col min="3078" max="3078" width="9.140625" style="23"/>
    <col min="3079" max="3079" width="10" style="23" customWidth="1"/>
    <col min="3080" max="3080" width="0" style="23" hidden="1" customWidth="1"/>
    <col min="3081" max="3081" width="15.140625" style="23" customWidth="1"/>
    <col min="3082" max="3082" width="0" style="23" hidden="1" customWidth="1"/>
    <col min="3083" max="3083" width="11.7109375" style="23" customWidth="1"/>
    <col min="3084" max="3084" width="8.42578125" style="23" customWidth="1"/>
    <col min="3085" max="3085" width="11.28515625" style="23" customWidth="1"/>
    <col min="3086" max="3086" width="15.42578125" style="23" customWidth="1"/>
    <col min="3087" max="3087" width="12.28515625" style="23" customWidth="1"/>
    <col min="3088" max="3088" width="9.140625" style="23"/>
    <col min="3089" max="3089" width="11.28515625" style="23" customWidth="1"/>
    <col min="3090" max="3090" width="13" style="23" customWidth="1"/>
    <col min="3091" max="3328" width="9.140625" style="23"/>
    <col min="3329" max="3329" width="12" style="23" customWidth="1"/>
    <col min="3330" max="3330" width="11.85546875" style="23" customWidth="1"/>
    <col min="3331" max="3331" width="15.7109375" style="23" customWidth="1"/>
    <col min="3332" max="3332" width="10.42578125" style="23" customWidth="1"/>
    <col min="3333" max="3333" width="9.28515625" style="23" customWidth="1"/>
    <col min="3334" max="3334" width="9.140625" style="23"/>
    <col min="3335" max="3335" width="10" style="23" customWidth="1"/>
    <col min="3336" max="3336" width="0" style="23" hidden="1" customWidth="1"/>
    <col min="3337" max="3337" width="15.140625" style="23" customWidth="1"/>
    <col min="3338" max="3338" width="0" style="23" hidden="1" customWidth="1"/>
    <col min="3339" max="3339" width="11.7109375" style="23" customWidth="1"/>
    <col min="3340" max="3340" width="8.42578125" style="23" customWidth="1"/>
    <col min="3341" max="3341" width="11.28515625" style="23" customWidth="1"/>
    <col min="3342" max="3342" width="15.42578125" style="23" customWidth="1"/>
    <col min="3343" max="3343" width="12.28515625" style="23" customWidth="1"/>
    <col min="3344" max="3344" width="9.140625" style="23"/>
    <col min="3345" max="3345" width="11.28515625" style="23" customWidth="1"/>
    <col min="3346" max="3346" width="13" style="23" customWidth="1"/>
    <col min="3347" max="3584" width="9.140625" style="23"/>
    <col min="3585" max="3585" width="12" style="23" customWidth="1"/>
    <col min="3586" max="3586" width="11.85546875" style="23" customWidth="1"/>
    <col min="3587" max="3587" width="15.7109375" style="23" customWidth="1"/>
    <col min="3588" max="3588" width="10.42578125" style="23" customWidth="1"/>
    <col min="3589" max="3589" width="9.28515625" style="23" customWidth="1"/>
    <col min="3590" max="3590" width="9.140625" style="23"/>
    <col min="3591" max="3591" width="10" style="23" customWidth="1"/>
    <col min="3592" max="3592" width="0" style="23" hidden="1" customWidth="1"/>
    <col min="3593" max="3593" width="15.140625" style="23" customWidth="1"/>
    <col min="3594" max="3594" width="0" style="23" hidden="1" customWidth="1"/>
    <col min="3595" max="3595" width="11.7109375" style="23" customWidth="1"/>
    <col min="3596" max="3596" width="8.42578125" style="23" customWidth="1"/>
    <col min="3597" max="3597" width="11.28515625" style="23" customWidth="1"/>
    <col min="3598" max="3598" width="15.42578125" style="23" customWidth="1"/>
    <col min="3599" max="3599" width="12.28515625" style="23" customWidth="1"/>
    <col min="3600" max="3600" width="9.140625" style="23"/>
    <col min="3601" max="3601" width="11.28515625" style="23" customWidth="1"/>
    <col min="3602" max="3602" width="13" style="23" customWidth="1"/>
    <col min="3603" max="3840" width="9.140625" style="23"/>
    <col min="3841" max="3841" width="12" style="23" customWidth="1"/>
    <col min="3842" max="3842" width="11.85546875" style="23" customWidth="1"/>
    <col min="3843" max="3843" width="15.7109375" style="23" customWidth="1"/>
    <col min="3844" max="3844" width="10.42578125" style="23" customWidth="1"/>
    <col min="3845" max="3845" width="9.28515625" style="23" customWidth="1"/>
    <col min="3846" max="3846" width="9.140625" style="23"/>
    <col min="3847" max="3847" width="10" style="23" customWidth="1"/>
    <col min="3848" max="3848" width="0" style="23" hidden="1" customWidth="1"/>
    <col min="3849" max="3849" width="15.140625" style="23" customWidth="1"/>
    <col min="3850" max="3850" width="0" style="23" hidden="1" customWidth="1"/>
    <col min="3851" max="3851" width="11.7109375" style="23" customWidth="1"/>
    <col min="3852" max="3852" width="8.42578125" style="23" customWidth="1"/>
    <col min="3853" max="3853" width="11.28515625" style="23" customWidth="1"/>
    <col min="3854" max="3854" width="15.42578125" style="23" customWidth="1"/>
    <col min="3855" max="3855" width="12.28515625" style="23" customWidth="1"/>
    <col min="3856" max="3856" width="9.140625" style="23"/>
    <col min="3857" max="3857" width="11.28515625" style="23" customWidth="1"/>
    <col min="3858" max="3858" width="13" style="23" customWidth="1"/>
    <col min="3859" max="4096" width="9.140625" style="23"/>
    <col min="4097" max="4097" width="12" style="23" customWidth="1"/>
    <col min="4098" max="4098" width="11.85546875" style="23" customWidth="1"/>
    <col min="4099" max="4099" width="15.7109375" style="23" customWidth="1"/>
    <col min="4100" max="4100" width="10.42578125" style="23" customWidth="1"/>
    <col min="4101" max="4101" width="9.28515625" style="23" customWidth="1"/>
    <col min="4102" max="4102" width="9.140625" style="23"/>
    <col min="4103" max="4103" width="10" style="23" customWidth="1"/>
    <col min="4104" max="4104" width="0" style="23" hidden="1" customWidth="1"/>
    <col min="4105" max="4105" width="15.140625" style="23" customWidth="1"/>
    <col min="4106" max="4106" width="0" style="23" hidden="1" customWidth="1"/>
    <col min="4107" max="4107" width="11.7109375" style="23" customWidth="1"/>
    <col min="4108" max="4108" width="8.42578125" style="23" customWidth="1"/>
    <col min="4109" max="4109" width="11.28515625" style="23" customWidth="1"/>
    <col min="4110" max="4110" width="15.42578125" style="23" customWidth="1"/>
    <col min="4111" max="4111" width="12.28515625" style="23" customWidth="1"/>
    <col min="4112" max="4112" width="9.140625" style="23"/>
    <col min="4113" max="4113" width="11.28515625" style="23" customWidth="1"/>
    <col min="4114" max="4114" width="13" style="23" customWidth="1"/>
    <col min="4115" max="4352" width="9.140625" style="23"/>
    <col min="4353" max="4353" width="12" style="23" customWidth="1"/>
    <col min="4354" max="4354" width="11.85546875" style="23" customWidth="1"/>
    <col min="4355" max="4355" width="15.7109375" style="23" customWidth="1"/>
    <col min="4356" max="4356" width="10.42578125" style="23" customWidth="1"/>
    <col min="4357" max="4357" width="9.28515625" style="23" customWidth="1"/>
    <col min="4358" max="4358" width="9.140625" style="23"/>
    <col min="4359" max="4359" width="10" style="23" customWidth="1"/>
    <col min="4360" max="4360" width="0" style="23" hidden="1" customWidth="1"/>
    <col min="4361" max="4361" width="15.140625" style="23" customWidth="1"/>
    <col min="4362" max="4362" width="0" style="23" hidden="1" customWidth="1"/>
    <col min="4363" max="4363" width="11.7109375" style="23" customWidth="1"/>
    <col min="4364" max="4364" width="8.42578125" style="23" customWidth="1"/>
    <col min="4365" max="4365" width="11.28515625" style="23" customWidth="1"/>
    <col min="4366" max="4366" width="15.42578125" style="23" customWidth="1"/>
    <col min="4367" max="4367" width="12.28515625" style="23" customWidth="1"/>
    <col min="4368" max="4368" width="9.140625" style="23"/>
    <col min="4369" max="4369" width="11.28515625" style="23" customWidth="1"/>
    <col min="4370" max="4370" width="13" style="23" customWidth="1"/>
    <col min="4371" max="4608" width="9.140625" style="23"/>
    <col min="4609" max="4609" width="12" style="23" customWidth="1"/>
    <col min="4610" max="4610" width="11.85546875" style="23" customWidth="1"/>
    <col min="4611" max="4611" width="15.7109375" style="23" customWidth="1"/>
    <col min="4612" max="4612" width="10.42578125" style="23" customWidth="1"/>
    <col min="4613" max="4613" width="9.28515625" style="23" customWidth="1"/>
    <col min="4614" max="4614" width="9.140625" style="23"/>
    <col min="4615" max="4615" width="10" style="23" customWidth="1"/>
    <col min="4616" max="4616" width="0" style="23" hidden="1" customWidth="1"/>
    <col min="4617" max="4617" width="15.140625" style="23" customWidth="1"/>
    <col min="4618" max="4618" width="0" style="23" hidden="1" customWidth="1"/>
    <col min="4619" max="4619" width="11.7109375" style="23" customWidth="1"/>
    <col min="4620" max="4620" width="8.42578125" style="23" customWidth="1"/>
    <col min="4621" max="4621" width="11.28515625" style="23" customWidth="1"/>
    <col min="4622" max="4622" width="15.42578125" style="23" customWidth="1"/>
    <col min="4623" max="4623" width="12.28515625" style="23" customWidth="1"/>
    <col min="4624" max="4624" width="9.140625" style="23"/>
    <col min="4625" max="4625" width="11.28515625" style="23" customWidth="1"/>
    <col min="4626" max="4626" width="13" style="23" customWidth="1"/>
    <col min="4627" max="4864" width="9.140625" style="23"/>
    <col min="4865" max="4865" width="12" style="23" customWidth="1"/>
    <col min="4866" max="4866" width="11.85546875" style="23" customWidth="1"/>
    <col min="4867" max="4867" width="15.7109375" style="23" customWidth="1"/>
    <col min="4868" max="4868" width="10.42578125" style="23" customWidth="1"/>
    <col min="4869" max="4869" width="9.28515625" style="23" customWidth="1"/>
    <col min="4870" max="4870" width="9.140625" style="23"/>
    <col min="4871" max="4871" width="10" style="23" customWidth="1"/>
    <col min="4872" max="4872" width="0" style="23" hidden="1" customWidth="1"/>
    <col min="4873" max="4873" width="15.140625" style="23" customWidth="1"/>
    <col min="4874" max="4874" width="0" style="23" hidden="1" customWidth="1"/>
    <col min="4875" max="4875" width="11.7109375" style="23" customWidth="1"/>
    <col min="4876" max="4876" width="8.42578125" style="23" customWidth="1"/>
    <col min="4877" max="4877" width="11.28515625" style="23" customWidth="1"/>
    <col min="4878" max="4878" width="15.42578125" style="23" customWidth="1"/>
    <col min="4879" max="4879" width="12.28515625" style="23" customWidth="1"/>
    <col min="4880" max="4880" width="9.140625" style="23"/>
    <col min="4881" max="4881" width="11.28515625" style="23" customWidth="1"/>
    <col min="4882" max="4882" width="13" style="23" customWidth="1"/>
    <col min="4883" max="5120" width="9.140625" style="23"/>
    <col min="5121" max="5121" width="12" style="23" customWidth="1"/>
    <col min="5122" max="5122" width="11.85546875" style="23" customWidth="1"/>
    <col min="5123" max="5123" width="15.7109375" style="23" customWidth="1"/>
    <col min="5124" max="5124" width="10.42578125" style="23" customWidth="1"/>
    <col min="5125" max="5125" width="9.28515625" style="23" customWidth="1"/>
    <col min="5126" max="5126" width="9.140625" style="23"/>
    <col min="5127" max="5127" width="10" style="23" customWidth="1"/>
    <col min="5128" max="5128" width="0" style="23" hidden="1" customWidth="1"/>
    <col min="5129" max="5129" width="15.140625" style="23" customWidth="1"/>
    <col min="5130" max="5130" width="0" style="23" hidden="1" customWidth="1"/>
    <col min="5131" max="5131" width="11.7109375" style="23" customWidth="1"/>
    <col min="5132" max="5132" width="8.42578125" style="23" customWidth="1"/>
    <col min="5133" max="5133" width="11.28515625" style="23" customWidth="1"/>
    <col min="5134" max="5134" width="15.42578125" style="23" customWidth="1"/>
    <col min="5135" max="5135" width="12.28515625" style="23" customWidth="1"/>
    <col min="5136" max="5136" width="9.140625" style="23"/>
    <col min="5137" max="5137" width="11.28515625" style="23" customWidth="1"/>
    <col min="5138" max="5138" width="13" style="23" customWidth="1"/>
    <col min="5139" max="5376" width="9.140625" style="23"/>
    <col min="5377" max="5377" width="12" style="23" customWidth="1"/>
    <col min="5378" max="5378" width="11.85546875" style="23" customWidth="1"/>
    <col min="5379" max="5379" width="15.7109375" style="23" customWidth="1"/>
    <col min="5380" max="5380" width="10.42578125" style="23" customWidth="1"/>
    <col min="5381" max="5381" width="9.28515625" style="23" customWidth="1"/>
    <col min="5382" max="5382" width="9.140625" style="23"/>
    <col min="5383" max="5383" width="10" style="23" customWidth="1"/>
    <col min="5384" max="5384" width="0" style="23" hidden="1" customWidth="1"/>
    <col min="5385" max="5385" width="15.140625" style="23" customWidth="1"/>
    <col min="5386" max="5386" width="0" style="23" hidden="1" customWidth="1"/>
    <col min="5387" max="5387" width="11.7109375" style="23" customWidth="1"/>
    <col min="5388" max="5388" width="8.42578125" style="23" customWidth="1"/>
    <col min="5389" max="5389" width="11.28515625" style="23" customWidth="1"/>
    <col min="5390" max="5390" width="15.42578125" style="23" customWidth="1"/>
    <col min="5391" max="5391" width="12.28515625" style="23" customWidth="1"/>
    <col min="5392" max="5392" width="9.140625" style="23"/>
    <col min="5393" max="5393" width="11.28515625" style="23" customWidth="1"/>
    <col min="5394" max="5394" width="13" style="23" customWidth="1"/>
    <col min="5395" max="5632" width="9.140625" style="23"/>
    <col min="5633" max="5633" width="12" style="23" customWidth="1"/>
    <col min="5634" max="5634" width="11.85546875" style="23" customWidth="1"/>
    <col min="5635" max="5635" width="15.7109375" style="23" customWidth="1"/>
    <col min="5636" max="5636" width="10.42578125" style="23" customWidth="1"/>
    <col min="5637" max="5637" width="9.28515625" style="23" customWidth="1"/>
    <col min="5638" max="5638" width="9.140625" style="23"/>
    <col min="5639" max="5639" width="10" style="23" customWidth="1"/>
    <col min="5640" max="5640" width="0" style="23" hidden="1" customWidth="1"/>
    <col min="5641" max="5641" width="15.140625" style="23" customWidth="1"/>
    <col min="5642" max="5642" width="0" style="23" hidden="1" customWidth="1"/>
    <col min="5643" max="5643" width="11.7109375" style="23" customWidth="1"/>
    <col min="5644" max="5644" width="8.42578125" style="23" customWidth="1"/>
    <col min="5645" max="5645" width="11.28515625" style="23" customWidth="1"/>
    <col min="5646" max="5646" width="15.42578125" style="23" customWidth="1"/>
    <col min="5647" max="5647" width="12.28515625" style="23" customWidth="1"/>
    <col min="5648" max="5648" width="9.140625" style="23"/>
    <col min="5649" max="5649" width="11.28515625" style="23" customWidth="1"/>
    <col min="5650" max="5650" width="13" style="23" customWidth="1"/>
    <col min="5651" max="5888" width="9.140625" style="23"/>
    <col min="5889" max="5889" width="12" style="23" customWidth="1"/>
    <col min="5890" max="5890" width="11.85546875" style="23" customWidth="1"/>
    <col min="5891" max="5891" width="15.7109375" style="23" customWidth="1"/>
    <col min="5892" max="5892" width="10.42578125" style="23" customWidth="1"/>
    <col min="5893" max="5893" width="9.28515625" style="23" customWidth="1"/>
    <col min="5894" max="5894" width="9.140625" style="23"/>
    <col min="5895" max="5895" width="10" style="23" customWidth="1"/>
    <col min="5896" max="5896" width="0" style="23" hidden="1" customWidth="1"/>
    <col min="5897" max="5897" width="15.140625" style="23" customWidth="1"/>
    <col min="5898" max="5898" width="0" style="23" hidden="1" customWidth="1"/>
    <col min="5899" max="5899" width="11.7109375" style="23" customWidth="1"/>
    <col min="5900" max="5900" width="8.42578125" style="23" customWidth="1"/>
    <col min="5901" max="5901" width="11.28515625" style="23" customWidth="1"/>
    <col min="5902" max="5902" width="15.42578125" style="23" customWidth="1"/>
    <col min="5903" max="5903" width="12.28515625" style="23" customWidth="1"/>
    <col min="5904" max="5904" width="9.140625" style="23"/>
    <col min="5905" max="5905" width="11.28515625" style="23" customWidth="1"/>
    <col min="5906" max="5906" width="13" style="23" customWidth="1"/>
    <col min="5907" max="6144" width="9.140625" style="23"/>
    <col min="6145" max="6145" width="12" style="23" customWidth="1"/>
    <col min="6146" max="6146" width="11.85546875" style="23" customWidth="1"/>
    <col min="6147" max="6147" width="15.7109375" style="23" customWidth="1"/>
    <col min="6148" max="6148" width="10.42578125" style="23" customWidth="1"/>
    <col min="6149" max="6149" width="9.28515625" style="23" customWidth="1"/>
    <col min="6150" max="6150" width="9.140625" style="23"/>
    <col min="6151" max="6151" width="10" style="23" customWidth="1"/>
    <col min="6152" max="6152" width="0" style="23" hidden="1" customWidth="1"/>
    <col min="6153" max="6153" width="15.140625" style="23" customWidth="1"/>
    <col min="6154" max="6154" width="0" style="23" hidden="1" customWidth="1"/>
    <col min="6155" max="6155" width="11.7109375" style="23" customWidth="1"/>
    <col min="6156" max="6156" width="8.42578125" style="23" customWidth="1"/>
    <col min="6157" max="6157" width="11.28515625" style="23" customWidth="1"/>
    <col min="6158" max="6158" width="15.42578125" style="23" customWidth="1"/>
    <col min="6159" max="6159" width="12.28515625" style="23" customWidth="1"/>
    <col min="6160" max="6160" width="9.140625" style="23"/>
    <col min="6161" max="6161" width="11.28515625" style="23" customWidth="1"/>
    <col min="6162" max="6162" width="13" style="23" customWidth="1"/>
    <col min="6163" max="6400" width="9.140625" style="23"/>
    <col min="6401" max="6401" width="12" style="23" customWidth="1"/>
    <col min="6402" max="6402" width="11.85546875" style="23" customWidth="1"/>
    <col min="6403" max="6403" width="15.7109375" style="23" customWidth="1"/>
    <col min="6404" max="6404" width="10.42578125" style="23" customWidth="1"/>
    <col min="6405" max="6405" width="9.28515625" style="23" customWidth="1"/>
    <col min="6406" max="6406" width="9.140625" style="23"/>
    <col min="6407" max="6407" width="10" style="23" customWidth="1"/>
    <col min="6408" max="6408" width="0" style="23" hidden="1" customWidth="1"/>
    <col min="6409" max="6409" width="15.140625" style="23" customWidth="1"/>
    <col min="6410" max="6410" width="0" style="23" hidden="1" customWidth="1"/>
    <col min="6411" max="6411" width="11.7109375" style="23" customWidth="1"/>
    <col min="6412" max="6412" width="8.42578125" style="23" customWidth="1"/>
    <col min="6413" max="6413" width="11.28515625" style="23" customWidth="1"/>
    <col min="6414" max="6414" width="15.42578125" style="23" customWidth="1"/>
    <col min="6415" max="6415" width="12.28515625" style="23" customWidth="1"/>
    <col min="6416" max="6416" width="9.140625" style="23"/>
    <col min="6417" max="6417" width="11.28515625" style="23" customWidth="1"/>
    <col min="6418" max="6418" width="13" style="23" customWidth="1"/>
    <col min="6419" max="6656" width="9.140625" style="23"/>
    <col min="6657" max="6657" width="12" style="23" customWidth="1"/>
    <col min="6658" max="6658" width="11.85546875" style="23" customWidth="1"/>
    <col min="6659" max="6659" width="15.7109375" style="23" customWidth="1"/>
    <col min="6660" max="6660" width="10.42578125" style="23" customWidth="1"/>
    <col min="6661" max="6661" width="9.28515625" style="23" customWidth="1"/>
    <col min="6662" max="6662" width="9.140625" style="23"/>
    <col min="6663" max="6663" width="10" style="23" customWidth="1"/>
    <col min="6664" max="6664" width="0" style="23" hidden="1" customWidth="1"/>
    <col min="6665" max="6665" width="15.140625" style="23" customWidth="1"/>
    <col min="6666" max="6666" width="0" style="23" hidden="1" customWidth="1"/>
    <col min="6667" max="6667" width="11.7109375" style="23" customWidth="1"/>
    <col min="6668" max="6668" width="8.42578125" style="23" customWidth="1"/>
    <col min="6669" max="6669" width="11.28515625" style="23" customWidth="1"/>
    <col min="6670" max="6670" width="15.42578125" style="23" customWidth="1"/>
    <col min="6671" max="6671" width="12.28515625" style="23" customWidth="1"/>
    <col min="6672" max="6672" width="9.140625" style="23"/>
    <col min="6673" max="6673" width="11.28515625" style="23" customWidth="1"/>
    <col min="6674" max="6674" width="13" style="23" customWidth="1"/>
    <col min="6675" max="6912" width="9.140625" style="23"/>
    <col min="6913" max="6913" width="12" style="23" customWidth="1"/>
    <col min="6914" max="6914" width="11.85546875" style="23" customWidth="1"/>
    <col min="6915" max="6915" width="15.7109375" style="23" customWidth="1"/>
    <col min="6916" max="6916" width="10.42578125" style="23" customWidth="1"/>
    <col min="6917" max="6917" width="9.28515625" style="23" customWidth="1"/>
    <col min="6918" max="6918" width="9.140625" style="23"/>
    <col min="6919" max="6919" width="10" style="23" customWidth="1"/>
    <col min="6920" max="6920" width="0" style="23" hidden="1" customWidth="1"/>
    <col min="6921" max="6921" width="15.140625" style="23" customWidth="1"/>
    <col min="6922" max="6922" width="0" style="23" hidden="1" customWidth="1"/>
    <col min="6923" max="6923" width="11.7109375" style="23" customWidth="1"/>
    <col min="6924" max="6924" width="8.42578125" style="23" customWidth="1"/>
    <col min="6925" max="6925" width="11.28515625" style="23" customWidth="1"/>
    <col min="6926" max="6926" width="15.42578125" style="23" customWidth="1"/>
    <col min="6927" max="6927" width="12.28515625" style="23" customWidth="1"/>
    <col min="6928" max="6928" width="9.140625" style="23"/>
    <col min="6929" max="6929" width="11.28515625" style="23" customWidth="1"/>
    <col min="6930" max="6930" width="13" style="23" customWidth="1"/>
    <col min="6931" max="7168" width="9.140625" style="23"/>
    <col min="7169" max="7169" width="12" style="23" customWidth="1"/>
    <col min="7170" max="7170" width="11.85546875" style="23" customWidth="1"/>
    <col min="7171" max="7171" width="15.7109375" style="23" customWidth="1"/>
    <col min="7172" max="7172" width="10.42578125" style="23" customWidth="1"/>
    <col min="7173" max="7173" width="9.28515625" style="23" customWidth="1"/>
    <col min="7174" max="7174" width="9.140625" style="23"/>
    <col min="7175" max="7175" width="10" style="23" customWidth="1"/>
    <col min="7176" max="7176" width="0" style="23" hidden="1" customWidth="1"/>
    <col min="7177" max="7177" width="15.140625" style="23" customWidth="1"/>
    <col min="7178" max="7178" width="0" style="23" hidden="1" customWidth="1"/>
    <col min="7179" max="7179" width="11.7109375" style="23" customWidth="1"/>
    <col min="7180" max="7180" width="8.42578125" style="23" customWidth="1"/>
    <col min="7181" max="7181" width="11.28515625" style="23" customWidth="1"/>
    <col min="7182" max="7182" width="15.42578125" style="23" customWidth="1"/>
    <col min="7183" max="7183" width="12.28515625" style="23" customWidth="1"/>
    <col min="7184" max="7184" width="9.140625" style="23"/>
    <col min="7185" max="7185" width="11.28515625" style="23" customWidth="1"/>
    <col min="7186" max="7186" width="13" style="23" customWidth="1"/>
    <col min="7187" max="7424" width="9.140625" style="23"/>
    <col min="7425" max="7425" width="12" style="23" customWidth="1"/>
    <col min="7426" max="7426" width="11.85546875" style="23" customWidth="1"/>
    <col min="7427" max="7427" width="15.7109375" style="23" customWidth="1"/>
    <col min="7428" max="7428" width="10.42578125" style="23" customWidth="1"/>
    <col min="7429" max="7429" width="9.28515625" style="23" customWidth="1"/>
    <col min="7430" max="7430" width="9.140625" style="23"/>
    <col min="7431" max="7431" width="10" style="23" customWidth="1"/>
    <col min="7432" max="7432" width="0" style="23" hidden="1" customWidth="1"/>
    <col min="7433" max="7433" width="15.140625" style="23" customWidth="1"/>
    <col min="7434" max="7434" width="0" style="23" hidden="1" customWidth="1"/>
    <col min="7435" max="7435" width="11.7109375" style="23" customWidth="1"/>
    <col min="7436" max="7436" width="8.42578125" style="23" customWidth="1"/>
    <col min="7437" max="7437" width="11.28515625" style="23" customWidth="1"/>
    <col min="7438" max="7438" width="15.42578125" style="23" customWidth="1"/>
    <col min="7439" max="7439" width="12.28515625" style="23" customWidth="1"/>
    <col min="7440" max="7440" width="9.140625" style="23"/>
    <col min="7441" max="7441" width="11.28515625" style="23" customWidth="1"/>
    <col min="7442" max="7442" width="13" style="23" customWidth="1"/>
    <col min="7443" max="7680" width="9.140625" style="23"/>
    <col min="7681" max="7681" width="12" style="23" customWidth="1"/>
    <col min="7682" max="7682" width="11.85546875" style="23" customWidth="1"/>
    <col min="7683" max="7683" width="15.7109375" style="23" customWidth="1"/>
    <col min="7684" max="7684" width="10.42578125" style="23" customWidth="1"/>
    <col min="7685" max="7685" width="9.28515625" style="23" customWidth="1"/>
    <col min="7686" max="7686" width="9.140625" style="23"/>
    <col min="7687" max="7687" width="10" style="23" customWidth="1"/>
    <col min="7688" max="7688" width="0" style="23" hidden="1" customWidth="1"/>
    <col min="7689" max="7689" width="15.140625" style="23" customWidth="1"/>
    <col min="7690" max="7690" width="0" style="23" hidden="1" customWidth="1"/>
    <col min="7691" max="7691" width="11.7109375" style="23" customWidth="1"/>
    <col min="7692" max="7692" width="8.42578125" style="23" customWidth="1"/>
    <col min="7693" max="7693" width="11.28515625" style="23" customWidth="1"/>
    <col min="7694" max="7694" width="15.42578125" style="23" customWidth="1"/>
    <col min="7695" max="7695" width="12.28515625" style="23" customWidth="1"/>
    <col min="7696" max="7696" width="9.140625" style="23"/>
    <col min="7697" max="7697" width="11.28515625" style="23" customWidth="1"/>
    <col min="7698" max="7698" width="13" style="23" customWidth="1"/>
    <col min="7699" max="7936" width="9.140625" style="23"/>
    <col min="7937" max="7937" width="12" style="23" customWidth="1"/>
    <col min="7938" max="7938" width="11.85546875" style="23" customWidth="1"/>
    <col min="7939" max="7939" width="15.7109375" style="23" customWidth="1"/>
    <col min="7940" max="7940" width="10.42578125" style="23" customWidth="1"/>
    <col min="7941" max="7941" width="9.28515625" style="23" customWidth="1"/>
    <col min="7942" max="7942" width="9.140625" style="23"/>
    <col min="7943" max="7943" width="10" style="23" customWidth="1"/>
    <col min="7944" max="7944" width="0" style="23" hidden="1" customWidth="1"/>
    <col min="7945" max="7945" width="15.140625" style="23" customWidth="1"/>
    <col min="7946" max="7946" width="0" style="23" hidden="1" customWidth="1"/>
    <col min="7947" max="7947" width="11.7109375" style="23" customWidth="1"/>
    <col min="7948" max="7948" width="8.42578125" style="23" customWidth="1"/>
    <col min="7949" max="7949" width="11.28515625" style="23" customWidth="1"/>
    <col min="7950" max="7950" width="15.42578125" style="23" customWidth="1"/>
    <col min="7951" max="7951" width="12.28515625" style="23" customWidth="1"/>
    <col min="7952" max="7952" width="9.140625" style="23"/>
    <col min="7953" max="7953" width="11.28515625" style="23" customWidth="1"/>
    <col min="7954" max="7954" width="13" style="23" customWidth="1"/>
    <col min="7955" max="8192" width="9.140625" style="23"/>
    <col min="8193" max="8193" width="12" style="23" customWidth="1"/>
    <col min="8194" max="8194" width="11.85546875" style="23" customWidth="1"/>
    <col min="8195" max="8195" width="15.7109375" style="23" customWidth="1"/>
    <col min="8196" max="8196" width="10.42578125" style="23" customWidth="1"/>
    <col min="8197" max="8197" width="9.28515625" style="23" customWidth="1"/>
    <col min="8198" max="8198" width="9.140625" style="23"/>
    <col min="8199" max="8199" width="10" style="23" customWidth="1"/>
    <col min="8200" max="8200" width="0" style="23" hidden="1" customWidth="1"/>
    <col min="8201" max="8201" width="15.140625" style="23" customWidth="1"/>
    <col min="8202" max="8202" width="0" style="23" hidden="1" customWidth="1"/>
    <col min="8203" max="8203" width="11.7109375" style="23" customWidth="1"/>
    <col min="8204" max="8204" width="8.42578125" style="23" customWidth="1"/>
    <col min="8205" max="8205" width="11.28515625" style="23" customWidth="1"/>
    <col min="8206" max="8206" width="15.42578125" style="23" customWidth="1"/>
    <col min="8207" max="8207" width="12.28515625" style="23" customWidth="1"/>
    <col min="8208" max="8208" width="9.140625" style="23"/>
    <col min="8209" max="8209" width="11.28515625" style="23" customWidth="1"/>
    <col min="8210" max="8210" width="13" style="23" customWidth="1"/>
    <col min="8211" max="8448" width="9.140625" style="23"/>
    <col min="8449" max="8449" width="12" style="23" customWidth="1"/>
    <col min="8450" max="8450" width="11.85546875" style="23" customWidth="1"/>
    <col min="8451" max="8451" width="15.7109375" style="23" customWidth="1"/>
    <col min="8452" max="8452" width="10.42578125" style="23" customWidth="1"/>
    <col min="8453" max="8453" width="9.28515625" style="23" customWidth="1"/>
    <col min="8454" max="8454" width="9.140625" style="23"/>
    <col min="8455" max="8455" width="10" style="23" customWidth="1"/>
    <col min="8456" max="8456" width="0" style="23" hidden="1" customWidth="1"/>
    <col min="8457" max="8457" width="15.140625" style="23" customWidth="1"/>
    <col min="8458" max="8458" width="0" style="23" hidden="1" customWidth="1"/>
    <col min="8459" max="8459" width="11.7109375" style="23" customWidth="1"/>
    <col min="8460" max="8460" width="8.42578125" style="23" customWidth="1"/>
    <col min="8461" max="8461" width="11.28515625" style="23" customWidth="1"/>
    <col min="8462" max="8462" width="15.42578125" style="23" customWidth="1"/>
    <col min="8463" max="8463" width="12.28515625" style="23" customWidth="1"/>
    <col min="8464" max="8464" width="9.140625" style="23"/>
    <col min="8465" max="8465" width="11.28515625" style="23" customWidth="1"/>
    <col min="8466" max="8466" width="13" style="23" customWidth="1"/>
    <col min="8467" max="8704" width="9.140625" style="23"/>
    <col min="8705" max="8705" width="12" style="23" customWidth="1"/>
    <col min="8706" max="8706" width="11.85546875" style="23" customWidth="1"/>
    <col min="8707" max="8707" width="15.7109375" style="23" customWidth="1"/>
    <col min="8708" max="8708" width="10.42578125" style="23" customWidth="1"/>
    <col min="8709" max="8709" width="9.28515625" style="23" customWidth="1"/>
    <col min="8710" max="8710" width="9.140625" style="23"/>
    <col min="8711" max="8711" width="10" style="23" customWidth="1"/>
    <col min="8712" max="8712" width="0" style="23" hidden="1" customWidth="1"/>
    <col min="8713" max="8713" width="15.140625" style="23" customWidth="1"/>
    <col min="8714" max="8714" width="0" style="23" hidden="1" customWidth="1"/>
    <col min="8715" max="8715" width="11.7109375" style="23" customWidth="1"/>
    <col min="8716" max="8716" width="8.42578125" style="23" customWidth="1"/>
    <col min="8717" max="8717" width="11.28515625" style="23" customWidth="1"/>
    <col min="8718" max="8718" width="15.42578125" style="23" customWidth="1"/>
    <col min="8719" max="8719" width="12.28515625" style="23" customWidth="1"/>
    <col min="8720" max="8720" width="9.140625" style="23"/>
    <col min="8721" max="8721" width="11.28515625" style="23" customWidth="1"/>
    <col min="8722" max="8722" width="13" style="23" customWidth="1"/>
    <col min="8723" max="8960" width="9.140625" style="23"/>
    <col min="8961" max="8961" width="12" style="23" customWidth="1"/>
    <col min="8962" max="8962" width="11.85546875" style="23" customWidth="1"/>
    <col min="8963" max="8963" width="15.7109375" style="23" customWidth="1"/>
    <col min="8964" max="8964" width="10.42578125" style="23" customWidth="1"/>
    <col min="8965" max="8965" width="9.28515625" style="23" customWidth="1"/>
    <col min="8966" max="8966" width="9.140625" style="23"/>
    <col min="8967" max="8967" width="10" style="23" customWidth="1"/>
    <col min="8968" max="8968" width="0" style="23" hidden="1" customWidth="1"/>
    <col min="8969" max="8969" width="15.140625" style="23" customWidth="1"/>
    <col min="8970" max="8970" width="0" style="23" hidden="1" customWidth="1"/>
    <col min="8971" max="8971" width="11.7109375" style="23" customWidth="1"/>
    <col min="8972" max="8972" width="8.42578125" style="23" customWidth="1"/>
    <col min="8973" max="8973" width="11.28515625" style="23" customWidth="1"/>
    <col min="8974" max="8974" width="15.42578125" style="23" customWidth="1"/>
    <col min="8975" max="8975" width="12.28515625" style="23" customWidth="1"/>
    <col min="8976" max="8976" width="9.140625" style="23"/>
    <col min="8977" max="8977" width="11.28515625" style="23" customWidth="1"/>
    <col min="8978" max="8978" width="13" style="23" customWidth="1"/>
    <col min="8979" max="9216" width="9.140625" style="23"/>
    <col min="9217" max="9217" width="12" style="23" customWidth="1"/>
    <col min="9218" max="9218" width="11.85546875" style="23" customWidth="1"/>
    <col min="9219" max="9219" width="15.7109375" style="23" customWidth="1"/>
    <col min="9220" max="9220" width="10.42578125" style="23" customWidth="1"/>
    <col min="9221" max="9221" width="9.28515625" style="23" customWidth="1"/>
    <col min="9222" max="9222" width="9.140625" style="23"/>
    <col min="9223" max="9223" width="10" style="23" customWidth="1"/>
    <col min="9224" max="9224" width="0" style="23" hidden="1" customWidth="1"/>
    <col min="9225" max="9225" width="15.140625" style="23" customWidth="1"/>
    <col min="9226" max="9226" width="0" style="23" hidden="1" customWidth="1"/>
    <col min="9227" max="9227" width="11.7109375" style="23" customWidth="1"/>
    <col min="9228" max="9228" width="8.42578125" style="23" customWidth="1"/>
    <col min="9229" max="9229" width="11.28515625" style="23" customWidth="1"/>
    <col min="9230" max="9230" width="15.42578125" style="23" customWidth="1"/>
    <col min="9231" max="9231" width="12.28515625" style="23" customWidth="1"/>
    <col min="9232" max="9232" width="9.140625" style="23"/>
    <col min="9233" max="9233" width="11.28515625" style="23" customWidth="1"/>
    <col min="9234" max="9234" width="13" style="23" customWidth="1"/>
    <col min="9235" max="9472" width="9.140625" style="23"/>
    <col min="9473" max="9473" width="12" style="23" customWidth="1"/>
    <col min="9474" max="9474" width="11.85546875" style="23" customWidth="1"/>
    <col min="9475" max="9475" width="15.7109375" style="23" customWidth="1"/>
    <col min="9476" max="9476" width="10.42578125" style="23" customWidth="1"/>
    <col min="9477" max="9477" width="9.28515625" style="23" customWidth="1"/>
    <col min="9478" max="9478" width="9.140625" style="23"/>
    <col min="9479" max="9479" width="10" style="23" customWidth="1"/>
    <col min="9480" max="9480" width="0" style="23" hidden="1" customWidth="1"/>
    <col min="9481" max="9481" width="15.140625" style="23" customWidth="1"/>
    <col min="9482" max="9482" width="0" style="23" hidden="1" customWidth="1"/>
    <col min="9483" max="9483" width="11.7109375" style="23" customWidth="1"/>
    <col min="9484" max="9484" width="8.42578125" style="23" customWidth="1"/>
    <col min="9485" max="9485" width="11.28515625" style="23" customWidth="1"/>
    <col min="9486" max="9486" width="15.42578125" style="23" customWidth="1"/>
    <col min="9487" max="9487" width="12.28515625" style="23" customWidth="1"/>
    <col min="9488" max="9488" width="9.140625" style="23"/>
    <col min="9489" max="9489" width="11.28515625" style="23" customWidth="1"/>
    <col min="9490" max="9490" width="13" style="23" customWidth="1"/>
    <col min="9491" max="9728" width="9.140625" style="23"/>
    <col min="9729" max="9729" width="12" style="23" customWidth="1"/>
    <col min="9730" max="9730" width="11.85546875" style="23" customWidth="1"/>
    <col min="9731" max="9731" width="15.7109375" style="23" customWidth="1"/>
    <col min="9732" max="9732" width="10.42578125" style="23" customWidth="1"/>
    <col min="9733" max="9733" width="9.28515625" style="23" customWidth="1"/>
    <col min="9734" max="9734" width="9.140625" style="23"/>
    <col min="9735" max="9735" width="10" style="23" customWidth="1"/>
    <col min="9736" max="9736" width="0" style="23" hidden="1" customWidth="1"/>
    <col min="9737" max="9737" width="15.140625" style="23" customWidth="1"/>
    <col min="9738" max="9738" width="0" style="23" hidden="1" customWidth="1"/>
    <col min="9739" max="9739" width="11.7109375" style="23" customWidth="1"/>
    <col min="9740" max="9740" width="8.42578125" style="23" customWidth="1"/>
    <col min="9741" max="9741" width="11.28515625" style="23" customWidth="1"/>
    <col min="9742" max="9742" width="15.42578125" style="23" customWidth="1"/>
    <col min="9743" max="9743" width="12.28515625" style="23" customWidth="1"/>
    <col min="9744" max="9744" width="9.140625" style="23"/>
    <col min="9745" max="9745" width="11.28515625" style="23" customWidth="1"/>
    <col min="9746" max="9746" width="13" style="23" customWidth="1"/>
    <col min="9747" max="9984" width="9.140625" style="23"/>
    <col min="9985" max="9985" width="12" style="23" customWidth="1"/>
    <col min="9986" max="9986" width="11.85546875" style="23" customWidth="1"/>
    <col min="9987" max="9987" width="15.7109375" style="23" customWidth="1"/>
    <col min="9988" max="9988" width="10.42578125" style="23" customWidth="1"/>
    <col min="9989" max="9989" width="9.28515625" style="23" customWidth="1"/>
    <col min="9990" max="9990" width="9.140625" style="23"/>
    <col min="9991" max="9991" width="10" style="23" customWidth="1"/>
    <col min="9992" max="9992" width="0" style="23" hidden="1" customWidth="1"/>
    <col min="9993" max="9993" width="15.140625" style="23" customWidth="1"/>
    <col min="9994" max="9994" width="0" style="23" hidden="1" customWidth="1"/>
    <col min="9995" max="9995" width="11.7109375" style="23" customWidth="1"/>
    <col min="9996" max="9996" width="8.42578125" style="23" customWidth="1"/>
    <col min="9997" max="9997" width="11.28515625" style="23" customWidth="1"/>
    <col min="9998" max="9998" width="15.42578125" style="23" customWidth="1"/>
    <col min="9999" max="9999" width="12.28515625" style="23" customWidth="1"/>
    <col min="10000" max="10000" width="9.140625" style="23"/>
    <col min="10001" max="10001" width="11.28515625" style="23" customWidth="1"/>
    <col min="10002" max="10002" width="13" style="23" customWidth="1"/>
    <col min="10003" max="10240" width="9.140625" style="23"/>
    <col min="10241" max="10241" width="12" style="23" customWidth="1"/>
    <col min="10242" max="10242" width="11.85546875" style="23" customWidth="1"/>
    <col min="10243" max="10243" width="15.7109375" style="23" customWidth="1"/>
    <col min="10244" max="10244" width="10.42578125" style="23" customWidth="1"/>
    <col min="10245" max="10245" width="9.28515625" style="23" customWidth="1"/>
    <col min="10246" max="10246" width="9.140625" style="23"/>
    <col min="10247" max="10247" width="10" style="23" customWidth="1"/>
    <col min="10248" max="10248" width="0" style="23" hidden="1" customWidth="1"/>
    <col min="10249" max="10249" width="15.140625" style="23" customWidth="1"/>
    <col min="10250" max="10250" width="0" style="23" hidden="1" customWidth="1"/>
    <col min="10251" max="10251" width="11.7109375" style="23" customWidth="1"/>
    <col min="10252" max="10252" width="8.42578125" style="23" customWidth="1"/>
    <col min="10253" max="10253" width="11.28515625" style="23" customWidth="1"/>
    <col min="10254" max="10254" width="15.42578125" style="23" customWidth="1"/>
    <col min="10255" max="10255" width="12.28515625" style="23" customWidth="1"/>
    <col min="10256" max="10256" width="9.140625" style="23"/>
    <col min="10257" max="10257" width="11.28515625" style="23" customWidth="1"/>
    <col min="10258" max="10258" width="13" style="23" customWidth="1"/>
    <col min="10259" max="10496" width="9.140625" style="23"/>
    <col min="10497" max="10497" width="12" style="23" customWidth="1"/>
    <col min="10498" max="10498" width="11.85546875" style="23" customWidth="1"/>
    <col min="10499" max="10499" width="15.7109375" style="23" customWidth="1"/>
    <col min="10500" max="10500" width="10.42578125" style="23" customWidth="1"/>
    <col min="10501" max="10501" width="9.28515625" style="23" customWidth="1"/>
    <col min="10502" max="10502" width="9.140625" style="23"/>
    <col min="10503" max="10503" width="10" style="23" customWidth="1"/>
    <col min="10504" max="10504" width="0" style="23" hidden="1" customWidth="1"/>
    <col min="10505" max="10505" width="15.140625" style="23" customWidth="1"/>
    <col min="10506" max="10506" width="0" style="23" hidden="1" customWidth="1"/>
    <col min="10507" max="10507" width="11.7109375" style="23" customWidth="1"/>
    <col min="10508" max="10508" width="8.42578125" style="23" customWidth="1"/>
    <col min="10509" max="10509" width="11.28515625" style="23" customWidth="1"/>
    <col min="10510" max="10510" width="15.42578125" style="23" customWidth="1"/>
    <col min="10511" max="10511" width="12.28515625" style="23" customWidth="1"/>
    <col min="10512" max="10512" width="9.140625" style="23"/>
    <col min="10513" max="10513" width="11.28515625" style="23" customWidth="1"/>
    <col min="10514" max="10514" width="13" style="23" customWidth="1"/>
    <col min="10515" max="10752" width="9.140625" style="23"/>
    <col min="10753" max="10753" width="12" style="23" customWidth="1"/>
    <col min="10754" max="10754" width="11.85546875" style="23" customWidth="1"/>
    <col min="10755" max="10755" width="15.7109375" style="23" customWidth="1"/>
    <col min="10756" max="10756" width="10.42578125" style="23" customWidth="1"/>
    <col min="10757" max="10757" width="9.28515625" style="23" customWidth="1"/>
    <col min="10758" max="10758" width="9.140625" style="23"/>
    <col min="10759" max="10759" width="10" style="23" customWidth="1"/>
    <col min="10760" max="10760" width="0" style="23" hidden="1" customWidth="1"/>
    <col min="10761" max="10761" width="15.140625" style="23" customWidth="1"/>
    <col min="10762" max="10762" width="0" style="23" hidden="1" customWidth="1"/>
    <col min="10763" max="10763" width="11.7109375" style="23" customWidth="1"/>
    <col min="10764" max="10764" width="8.42578125" style="23" customWidth="1"/>
    <col min="10765" max="10765" width="11.28515625" style="23" customWidth="1"/>
    <col min="10766" max="10766" width="15.42578125" style="23" customWidth="1"/>
    <col min="10767" max="10767" width="12.28515625" style="23" customWidth="1"/>
    <col min="10768" max="10768" width="9.140625" style="23"/>
    <col min="10769" max="10769" width="11.28515625" style="23" customWidth="1"/>
    <col min="10770" max="10770" width="13" style="23" customWidth="1"/>
    <col min="10771" max="11008" width="9.140625" style="23"/>
    <col min="11009" max="11009" width="12" style="23" customWidth="1"/>
    <col min="11010" max="11010" width="11.85546875" style="23" customWidth="1"/>
    <col min="11011" max="11011" width="15.7109375" style="23" customWidth="1"/>
    <col min="11012" max="11012" width="10.42578125" style="23" customWidth="1"/>
    <col min="11013" max="11013" width="9.28515625" style="23" customWidth="1"/>
    <col min="11014" max="11014" width="9.140625" style="23"/>
    <col min="11015" max="11015" width="10" style="23" customWidth="1"/>
    <col min="11016" max="11016" width="0" style="23" hidden="1" customWidth="1"/>
    <col min="11017" max="11017" width="15.140625" style="23" customWidth="1"/>
    <col min="11018" max="11018" width="0" style="23" hidden="1" customWidth="1"/>
    <col min="11019" max="11019" width="11.7109375" style="23" customWidth="1"/>
    <col min="11020" max="11020" width="8.42578125" style="23" customWidth="1"/>
    <col min="11021" max="11021" width="11.28515625" style="23" customWidth="1"/>
    <col min="11022" max="11022" width="15.42578125" style="23" customWidth="1"/>
    <col min="11023" max="11023" width="12.28515625" style="23" customWidth="1"/>
    <col min="11024" max="11024" width="9.140625" style="23"/>
    <col min="11025" max="11025" width="11.28515625" style="23" customWidth="1"/>
    <col min="11026" max="11026" width="13" style="23" customWidth="1"/>
    <col min="11027" max="11264" width="9.140625" style="23"/>
    <col min="11265" max="11265" width="12" style="23" customWidth="1"/>
    <col min="11266" max="11266" width="11.85546875" style="23" customWidth="1"/>
    <col min="11267" max="11267" width="15.7109375" style="23" customWidth="1"/>
    <col min="11268" max="11268" width="10.42578125" style="23" customWidth="1"/>
    <col min="11269" max="11269" width="9.28515625" style="23" customWidth="1"/>
    <col min="11270" max="11270" width="9.140625" style="23"/>
    <col min="11271" max="11271" width="10" style="23" customWidth="1"/>
    <col min="11272" max="11272" width="0" style="23" hidden="1" customWidth="1"/>
    <col min="11273" max="11273" width="15.140625" style="23" customWidth="1"/>
    <col min="11274" max="11274" width="0" style="23" hidden="1" customWidth="1"/>
    <col min="11275" max="11275" width="11.7109375" style="23" customWidth="1"/>
    <col min="11276" max="11276" width="8.42578125" style="23" customWidth="1"/>
    <col min="11277" max="11277" width="11.28515625" style="23" customWidth="1"/>
    <col min="11278" max="11278" width="15.42578125" style="23" customWidth="1"/>
    <col min="11279" max="11279" width="12.28515625" style="23" customWidth="1"/>
    <col min="11280" max="11280" width="9.140625" style="23"/>
    <col min="11281" max="11281" width="11.28515625" style="23" customWidth="1"/>
    <col min="11282" max="11282" width="13" style="23" customWidth="1"/>
    <col min="11283" max="11520" width="9.140625" style="23"/>
    <col min="11521" max="11521" width="12" style="23" customWidth="1"/>
    <col min="11522" max="11522" width="11.85546875" style="23" customWidth="1"/>
    <col min="11523" max="11523" width="15.7109375" style="23" customWidth="1"/>
    <col min="11524" max="11524" width="10.42578125" style="23" customWidth="1"/>
    <col min="11525" max="11525" width="9.28515625" style="23" customWidth="1"/>
    <col min="11526" max="11526" width="9.140625" style="23"/>
    <col min="11527" max="11527" width="10" style="23" customWidth="1"/>
    <col min="11528" max="11528" width="0" style="23" hidden="1" customWidth="1"/>
    <col min="11529" max="11529" width="15.140625" style="23" customWidth="1"/>
    <col min="11530" max="11530" width="0" style="23" hidden="1" customWidth="1"/>
    <col min="11531" max="11531" width="11.7109375" style="23" customWidth="1"/>
    <col min="11532" max="11532" width="8.42578125" style="23" customWidth="1"/>
    <col min="11533" max="11533" width="11.28515625" style="23" customWidth="1"/>
    <col min="11534" max="11534" width="15.42578125" style="23" customWidth="1"/>
    <col min="11535" max="11535" width="12.28515625" style="23" customWidth="1"/>
    <col min="11536" max="11536" width="9.140625" style="23"/>
    <col min="11537" max="11537" width="11.28515625" style="23" customWidth="1"/>
    <col min="11538" max="11538" width="13" style="23" customWidth="1"/>
    <col min="11539" max="11776" width="9.140625" style="23"/>
    <col min="11777" max="11777" width="12" style="23" customWidth="1"/>
    <col min="11778" max="11778" width="11.85546875" style="23" customWidth="1"/>
    <col min="11779" max="11779" width="15.7109375" style="23" customWidth="1"/>
    <col min="11780" max="11780" width="10.42578125" style="23" customWidth="1"/>
    <col min="11781" max="11781" width="9.28515625" style="23" customWidth="1"/>
    <col min="11782" max="11782" width="9.140625" style="23"/>
    <col min="11783" max="11783" width="10" style="23" customWidth="1"/>
    <col min="11784" max="11784" width="0" style="23" hidden="1" customWidth="1"/>
    <col min="11785" max="11785" width="15.140625" style="23" customWidth="1"/>
    <col min="11786" max="11786" width="0" style="23" hidden="1" customWidth="1"/>
    <col min="11787" max="11787" width="11.7109375" style="23" customWidth="1"/>
    <col min="11788" max="11788" width="8.42578125" style="23" customWidth="1"/>
    <col min="11789" max="11789" width="11.28515625" style="23" customWidth="1"/>
    <col min="11790" max="11790" width="15.42578125" style="23" customWidth="1"/>
    <col min="11791" max="11791" width="12.28515625" style="23" customWidth="1"/>
    <col min="11792" max="11792" width="9.140625" style="23"/>
    <col min="11793" max="11793" width="11.28515625" style="23" customWidth="1"/>
    <col min="11794" max="11794" width="13" style="23" customWidth="1"/>
    <col min="11795" max="12032" width="9.140625" style="23"/>
    <col min="12033" max="12033" width="12" style="23" customWidth="1"/>
    <col min="12034" max="12034" width="11.85546875" style="23" customWidth="1"/>
    <col min="12035" max="12035" width="15.7109375" style="23" customWidth="1"/>
    <col min="12036" max="12036" width="10.42578125" style="23" customWidth="1"/>
    <col min="12037" max="12037" width="9.28515625" style="23" customWidth="1"/>
    <col min="12038" max="12038" width="9.140625" style="23"/>
    <col min="12039" max="12039" width="10" style="23" customWidth="1"/>
    <col min="12040" max="12040" width="0" style="23" hidden="1" customWidth="1"/>
    <col min="12041" max="12041" width="15.140625" style="23" customWidth="1"/>
    <col min="12042" max="12042" width="0" style="23" hidden="1" customWidth="1"/>
    <col min="12043" max="12043" width="11.7109375" style="23" customWidth="1"/>
    <col min="12044" max="12044" width="8.42578125" style="23" customWidth="1"/>
    <col min="12045" max="12045" width="11.28515625" style="23" customWidth="1"/>
    <col min="12046" max="12046" width="15.42578125" style="23" customWidth="1"/>
    <col min="12047" max="12047" width="12.28515625" style="23" customWidth="1"/>
    <col min="12048" max="12048" width="9.140625" style="23"/>
    <col min="12049" max="12049" width="11.28515625" style="23" customWidth="1"/>
    <col min="12050" max="12050" width="13" style="23" customWidth="1"/>
    <col min="12051" max="12288" width="9.140625" style="23"/>
    <col min="12289" max="12289" width="12" style="23" customWidth="1"/>
    <col min="12290" max="12290" width="11.85546875" style="23" customWidth="1"/>
    <col min="12291" max="12291" width="15.7109375" style="23" customWidth="1"/>
    <col min="12292" max="12292" width="10.42578125" style="23" customWidth="1"/>
    <col min="12293" max="12293" width="9.28515625" style="23" customWidth="1"/>
    <col min="12294" max="12294" width="9.140625" style="23"/>
    <col min="12295" max="12295" width="10" style="23" customWidth="1"/>
    <col min="12296" max="12296" width="0" style="23" hidden="1" customWidth="1"/>
    <col min="12297" max="12297" width="15.140625" style="23" customWidth="1"/>
    <col min="12298" max="12298" width="0" style="23" hidden="1" customWidth="1"/>
    <col min="12299" max="12299" width="11.7109375" style="23" customWidth="1"/>
    <col min="12300" max="12300" width="8.42578125" style="23" customWidth="1"/>
    <col min="12301" max="12301" width="11.28515625" style="23" customWidth="1"/>
    <col min="12302" max="12302" width="15.42578125" style="23" customWidth="1"/>
    <col min="12303" max="12303" width="12.28515625" style="23" customWidth="1"/>
    <col min="12304" max="12304" width="9.140625" style="23"/>
    <col min="12305" max="12305" width="11.28515625" style="23" customWidth="1"/>
    <col min="12306" max="12306" width="13" style="23" customWidth="1"/>
    <col min="12307" max="12544" width="9.140625" style="23"/>
    <col min="12545" max="12545" width="12" style="23" customWidth="1"/>
    <col min="12546" max="12546" width="11.85546875" style="23" customWidth="1"/>
    <col min="12547" max="12547" width="15.7109375" style="23" customWidth="1"/>
    <col min="12548" max="12548" width="10.42578125" style="23" customWidth="1"/>
    <col min="12549" max="12549" width="9.28515625" style="23" customWidth="1"/>
    <col min="12550" max="12550" width="9.140625" style="23"/>
    <col min="12551" max="12551" width="10" style="23" customWidth="1"/>
    <col min="12552" max="12552" width="0" style="23" hidden="1" customWidth="1"/>
    <col min="12553" max="12553" width="15.140625" style="23" customWidth="1"/>
    <col min="12554" max="12554" width="0" style="23" hidden="1" customWidth="1"/>
    <col min="12555" max="12555" width="11.7109375" style="23" customWidth="1"/>
    <col min="12556" max="12556" width="8.42578125" style="23" customWidth="1"/>
    <col min="12557" max="12557" width="11.28515625" style="23" customWidth="1"/>
    <col min="12558" max="12558" width="15.42578125" style="23" customWidth="1"/>
    <col min="12559" max="12559" width="12.28515625" style="23" customWidth="1"/>
    <col min="12560" max="12560" width="9.140625" style="23"/>
    <col min="12561" max="12561" width="11.28515625" style="23" customWidth="1"/>
    <col min="12562" max="12562" width="13" style="23" customWidth="1"/>
    <col min="12563" max="12800" width="9.140625" style="23"/>
    <col min="12801" max="12801" width="12" style="23" customWidth="1"/>
    <col min="12802" max="12802" width="11.85546875" style="23" customWidth="1"/>
    <col min="12803" max="12803" width="15.7109375" style="23" customWidth="1"/>
    <col min="12804" max="12804" width="10.42578125" style="23" customWidth="1"/>
    <col min="12805" max="12805" width="9.28515625" style="23" customWidth="1"/>
    <col min="12806" max="12806" width="9.140625" style="23"/>
    <col min="12807" max="12807" width="10" style="23" customWidth="1"/>
    <col min="12808" max="12808" width="0" style="23" hidden="1" customWidth="1"/>
    <col min="12809" max="12809" width="15.140625" style="23" customWidth="1"/>
    <col min="12810" max="12810" width="0" style="23" hidden="1" customWidth="1"/>
    <col min="12811" max="12811" width="11.7109375" style="23" customWidth="1"/>
    <col min="12812" max="12812" width="8.42578125" style="23" customWidth="1"/>
    <col min="12813" max="12813" width="11.28515625" style="23" customWidth="1"/>
    <col min="12814" max="12814" width="15.42578125" style="23" customWidth="1"/>
    <col min="12815" max="12815" width="12.28515625" style="23" customWidth="1"/>
    <col min="12816" max="12816" width="9.140625" style="23"/>
    <col min="12817" max="12817" width="11.28515625" style="23" customWidth="1"/>
    <col min="12818" max="12818" width="13" style="23" customWidth="1"/>
    <col min="12819" max="13056" width="9.140625" style="23"/>
    <col min="13057" max="13057" width="12" style="23" customWidth="1"/>
    <col min="13058" max="13058" width="11.85546875" style="23" customWidth="1"/>
    <col min="13059" max="13059" width="15.7109375" style="23" customWidth="1"/>
    <col min="13060" max="13060" width="10.42578125" style="23" customWidth="1"/>
    <col min="13061" max="13061" width="9.28515625" style="23" customWidth="1"/>
    <col min="13062" max="13062" width="9.140625" style="23"/>
    <col min="13063" max="13063" width="10" style="23" customWidth="1"/>
    <col min="13064" max="13064" width="0" style="23" hidden="1" customWidth="1"/>
    <col min="13065" max="13065" width="15.140625" style="23" customWidth="1"/>
    <col min="13066" max="13066" width="0" style="23" hidden="1" customWidth="1"/>
    <col min="13067" max="13067" width="11.7109375" style="23" customWidth="1"/>
    <col min="13068" max="13068" width="8.42578125" style="23" customWidth="1"/>
    <col min="13069" max="13069" width="11.28515625" style="23" customWidth="1"/>
    <col min="13070" max="13070" width="15.42578125" style="23" customWidth="1"/>
    <col min="13071" max="13071" width="12.28515625" style="23" customWidth="1"/>
    <col min="13072" max="13072" width="9.140625" style="23"/>
    <col min="13073" max="13073" width="11.28515625" style="23" customWidth="1"/>
    <col min="13074" max="13074" width="13" style="23" customWidth="1"/>
    <col min="13075" max="13312" width="9.140625" style="23"/>
    <col min="13313" max="13313" width="12" style="23" customWidth="1"/>
    <col min="13314" max="13314" width="11.85546875" style="23" customWidth="1"/>
    <col min="13315" max="13315" width="15.7109375" style="23" customWidth="1"/>
    <col min="13316" max="13316" width="10.42578125" style="23" customWidth="1"/>
    <col min="13317" max="13317" width="9.28515625" style="23" customWidth="1"/>
    <col min="13318" max="13318" width="9.140625" style="23"/>
    <col min="13319" max="13319" width="10" style="23" customWidth="1"/>
    <col min="13320" max="13320" width="0" style="23" hidden="1" customWidth="1"/>
    <col min="13321" max="13321" width="15.140625" style="23" customWidth="1"/>
    <col min="13322" max="13322" width="0" style="23" hidden="1" customWidth="1"/>
    <col min="13323" max="13323" width="11.7109375" style="23" customWidth="1"/>
    <col min="13324" max="13324" width="8.42578125" style="23" customWidth="1"/>
    <col min="13325" max="13325" width="11.28515625" style="23" customWidth="1"/>
    <col min="13326" max="13326" width="15.42578125" style="23" customWidth="1"/>
    <col min="13327" max="13327" width="12.28515625" style="23" customWidth="1"/>
    <col min="13328" max="13328" width="9.140625" style="23"/>
    <col min="13329" max="13329" width="11.28515625" style="23" customWidth="1"/>
    <col min="13330" max="13330" width="13" style="23" customWidth="1"/>
    <col min="13331" max="13568" width="9.140625" style="23"/>
    <col min="13569" max="13569" width="12" style="23" customWidth="1"/>
    <col min="13570" max="13570" width="11.85546875" style="23" customWidth="1"/>
    <col min="13571" max="13571" width="15.7109375" style="23" customWidth="1"/>
    <col min="13572" max="13572" width="10.42578125" style="23" customWidth="1"/>
    <col min="13573" max="13573" width="9.28515625" style="23" customWidth="1"/>
    <col min="13574" max="13574" width="9.140625" style="23"/>
    <col min="13575" max="13575" width="10" style="23" customWidth="1"/>
    <col min="13576" max="13576" width="0" style="23" hidden="1" customWidth="1"/>
    <col min="13577" max="13577" width="15.140625" style="23" customWidth="1"/>
    <col min="13578" max="13578" width="0" style="23" hidden="1" customWidth="1"/>
    <col min="13579" max="13579" width="11.7109375" style="23" customWidth="1"/>
    <col min="13580" max="13580" width="8.42578125" style="23" customWidth="1"/>
    <col min="13581" max="13581" width="11.28515625" style="23" customWidth="1"/>
    <col min="13582" max="13582" width="15.42578125" style="23" customWidth="1"/>
    <col min="13583" max="13583" width="12.28515625" style="23" customWidth="1"/>
    <col min="13584" max="13584" width="9.140625" style="23"/>
    <col min="13585" max="13585" width="11.28515625" style="23" customWidth="1"/>
    <col min="13586" max="13586" width="13" style="23" customWidth="1"/>
    <col min="13587" max="13824" width="9.140625" style="23"/>
    <col min="13825" max="13825" width="12" style="23" customWidth="1"/>
    <col min="13826" max="13826" width="11.85546875" style="23" customWidth="1"/>
    <col min="13827" max="13827" width="15.7109375" style="23" customWidth="1"/>
    <col min="13828" max="13828" width="10.42578125" style="23" customWidth="1"/>
    <col min="13829" max="13829" width="9.28515625" style="23" customWidth="1"/>
    <col min="13830" max="13830" width="9.140625" style="23"/>
    <col min="13831" max="13831" width="10" style="23" customWidth="1"/>
    <col min="13832" max="13832" width="0" style="23" hidden="1" customWidth="1"/>
    <col min="13833" max="13833" width="15.140625" style="23" customWidth="1"/>
    <col min="13834" max="13834" width="0" style="23" hidden="1" customWidth="1"/>
    <col min="13835" max="13835" width="11.7109375" style="23" customWidth="1"/>
    <col min="13836" max="13836" width="8.42578125" style="23" customWidth="1"/>
    <col min="13837" max="13837" width="11.28515625" style="23" customWidth="1"/>
    <col min="13838" max="13838" width="15.42578125" style="23" customWidth="1"/>
    <col min="13839" max="13839" width="12.28515625" style="23" customWidth="1"/>
    <col min="13840" max="13840" width="9.140625" style="23"/>
    <col min="13841" max="13841" width="11.28515625" style="23" customWidth="1"/>
    <col min="13842" max="13842" width="13" style="23" customWidth="1"/>
    <col min="13843" max="14080" width="9.140625" style="23"/>
    <col min="14081" max="14081" width="12" style="23" customWidth="1"/>
    <col min="14082" max="14082" width="11.85546875" style="23" customWidth="1"/>
    <col min="14083" max="14083" width="15.7109375" style="23" customWidth="1"/>
    <col min="14084" max="14084" width="10.42578125" style="23" customWidth="1"/>
    <col min="14085" max="14085" width="9.28515625" style="23" customWidth="1"/>
    <col min="14086" max="14086" width="9.140625" style="23"/>
    <col min="14087" max="14087" width="10" style="23" customWidth="1"/>
    <col min="14088" max="14088" width="0" style="23" hidden="1" customWidth="1"/>
    <col min="14089" max="14089" width="15.140625" style="23" customWidth="1"/>
    <col min="14090" max="14090" width="0" style="23" hidden="1" customWidth="1"/>
    <col min="14091" max="14091" width="11.7109375" style="23" customWidth="1"/>
    <col min="14092" max="14092" width="8.42578125" style="23" customWidth="1"/>
    <col min="14093" max="14093" width="11.28515625" style="23" customWidth="1"/>
    <col min="14094" max="14094" width="15.42578125" style="23" customWidth="1"/>
    <col min="14095" max="14095" width="12.28515625" style="23" customWidth="1"/>
    <col min="14096" max="14096" width="9.140625" style="23"/>
    <col min="14097" max="14097" width="11.28515625" style="23" customWidth="1"/>
    <col min="14098" max="14098" width="13" style="23" customWidth="1"/>
    <col min="14099" max="14336" width="9.140625" style="23"/>
    <col min="14337" max="14337" width="12" style="23" customWidth="1"/>
    <col min="14338" max="14338" width="11.85546875" style="23" customWidth="1"/>
    <col min="14339" max="14339" width="15.7109375" style="23" customWidth="1"/>
    <col min="14340" max="14340" width="10.42578125" style="23" customWidth="1"/>
    <col min="14341" max="14341" width="9.28515625" style="23" customWidth="1"/>
    <col min="14342" max="14342" width="9.140625" style="23"/>
    <col min="14343" max="14343" width="10" style="23" customWidth="1"/>
    <col min="14344" max="14344" width="0" style="23" hidden="1" customWidth="1"/>
    <col min="14345" max="14345" width="15.140625" style="23" customWidth="1"/>
    <col min="14346" max="14346" width="0" style="23" hidden="1" customWidth="1"/>
    <col min="14347" max="14347" width="11.7109375" style="23" customWidth="1"/>
    <col min="14348" max="14348" width="8.42578125" style="23" customWidth="1"/>
    <col min="14349" max="14349" width="11.28515625" style="23" customWidth="1"/>
    <col min="14350" max="14350" width="15.42578125" style="23" customWidth="1"/>
    <col min="14351" max="14351" width="12.28515625" style="23" customWidth="1"/>
    <col min="14352" max="14352" width="9.140625" style="23"/>
    <col min="14353" max="14353" width="11.28515625" style="23" customWidth="1"/>
    <col min="14354" max="14354" width="13" style="23" customWidth="1"/>
    <col min="14355" max="14592" width="9.140625" style="23"/>
    <col min="14593" max="14593" width="12" style="23" customWidth="1"/>
    <col min="14594" max="14594" width="11.85546875" style="23" customWidth="1"/>
    <col min="14595" max="14595" width="15.7109375" style="23" customWidth="1"/>
    <col min="14596" max="14596" width="10.42578125" style="23" customWidth="1"/>
    <col min="14597" max="14597" width="9.28515625" style="23" customWidth="1"/>
    <col min="14598" max="14598" width="9.140625" style="23"/>
    <col min="14599" max="14599" width="10" style="23" customWidth="1"/>
    <col min="14600" max="14600" width="0" style="23" hidden="1" customWidth="1"/>
    <col min="14601" max="14601" width="15.140625" style="23" customWidth="1"/>
    <col min="14602" max="14602" width="0" style="23" hidden="1" customWidth="1"/>
    <col min="14603" max="14603" width="11.7109375" style="23" customWidth="1"/>
    <col min="14604" max="14604" width="8.42578125" style="23" customWidth="1"/>
    <col min="14605" max="14605" width="11.28515625" style="23" customWidth="1"/>
    <col min="14606" max="14606" width="15.42578125" style="23" customWidth="1"/>
    <col min="14607" max="14607" width="12.28515625" style="23" customWidth="1"/>
    <col min="14608" max="14608" width="9.140625" style="23"/>
    <col min="14609" max="14609" width="11.28515625" style="23" customWidth="1"/>
    <col min="14610" max="14610" width="13" style="23" customWidth="1"/>
    <col min="14611" max="14848" width="9.140625" style="23"/>
    <col min="14849" max="14849" width="12" style="23" customWidth="1"/>
    <col min="14850" max="14850" width="11.85546875" style="23" customWidth="1"/>
    <col min="14851" max="14851" width="15.7109375" style="23" customWidth="1"/>
    <col min="14852" max="14852" width="10.42578125" style="23" customWidth="1"/>
    <col min="14853" max="14853" width="9.28515625" style="23" customWidth="1"/>
    <col min="14854" max="14854" width="9.140625" style="23"/>
    <col min="14855" max="14855" width="10" style="23" customWidth="1"/>
    <col min="14856" max="14856" width="0" style="23" hidden="1" customWidth="1"/>
    <col min="14857" max="14857" width="15.140625" style="23" customWidth="1"/>
    <col min="14858" max="14858" width="0" style="23" hidden="1" customWidth="1"/>
    <col min="14859" max="14859" width="11.7109375" style="23" customWidth="1"/>
    <col min="14860" max="14860" width="8.42578125" style="23" customWidth="1"/>
    <col min="14861" max="14861" width="11.28515625" style="23" customWidth="1"/>
    <col min="14862" max="14862" width="15.42578125" style="23" customWidth="1"/>
    <col min="14863" max="14863" width="12.28515625" style="23" customWidth="1"/>
    <col min="14864" max="14864" width="9.140625" style="23"/>
    <col min="14865" max="14865" width="11.28515625" style="23" customWidth="1"/>
    <col min="14866" max="14866" width="13" style="23" customWidth="1"/>
    <col min="14867" max="15104" width="9.140625" style="23"/>
    <col min="15105" max="15105" width="12" style="23" customWidth="1"/>
    <col min="15106" max="15106" width="11.85546875" style="23" customWidth="1"/>
    <col min="15107" max="15107" width="15.7109375" style="23" customWidth="1"/>
    <col min="15108" max="15108" width="10.42578125" style="23" customWidth="1"/>
    <col min="15109" max="15109" width="9.28515625" style="23" customWidth="1"/>
    <col min="15110" max="15110" width="9.140625" style="23"/>
    <col min="15111" max="15111" width="10" style="23" customWidth="1"/>
    <col min="15112" max="15112" width="0" style="23" hidden="1" customWidth="1"/>
    <col min="15113" max="15113" width="15.140625" style="23" customWidth="1"/>
    <col min="15114" max="15114" width="0" style="23" hidden="1" customWidth="1"/>
    <col min="15115" max="15115" width="11.7109375" style="23" customWidth="1"/>
    <col min="15116" max="15116" width="8.42578125" style="23" customWidth="1"/>
    <col min="15117" max="15117" width="11.28515625" style="23" customWidth="1"/>
    <col min="15118" max="15118" width="15.42578125" style="23" customWidth="1"/>
    <col min="15119" max="15119" width="12.28515625" style="23" customWidth="1"/>
    <col min="15120" max="15120" width="9.140625" style="23"/>
    <col min="15121" max="15121" width="11.28515625" style="23" customWidth="1"/>
    <col min="15122" max="15122" width="13" style="23" customWidth="1"/>
    <col min="15123" max="15360" width="9.140625" style="23"/>
    <col min="15361" max="15361" width="12" style="23" customWidth="1"/>
    <col min="15362" max="15362" width="11.85546875" style="23" customWidth="1"/>
    <col min="15363" max="15363" width="15.7109375" style="23" customWidth="1"/>
    <col min="15364" max="15364" width="10.42578125" style="23" customWidth="1"/>
    <col min="15365" max="15365" width="9.28515625" style="23" customWidth="1"/>
    <col min="15366" max="15366" width="9.140625" style="23"/>
    <col min="15367" max="15367" width="10" style="23" customWidth="1"/>
    <col min="15368" max="15368" width="0" style="23" hidden="1" customWidth="1"/>
    <col min="15369" max="15369" width="15.140625" style="23" customWidth="1"/>
    <col min="15370" max="15370" width="0" style="23" hidden="1" customWidth="1"/>
    <col min="15371" max="15371" width="11.7109375" style="23" customWidth="1"/>
    <col min="15372" max="15372" width="8.42578125" style="23" customWidth="1"/>
    <col min="15373" max="15373" width="11.28515625" style="23" customWidth="1"/>
    <col min="15374" max="15374" width="15.42578125" style="23" customWidth="1"/>
    <col min="15375" max="15375" width="12.28515625" style="23" customWidth="1"/>
    <col min="15376" max="15376" width="9.140625" style="23"/>
    <col min="15377" max="15377" width="11.28515625" style="23" customWidth="1"/>
    <col min="15378" max="15378" width="13" style="23" customWidth="1"/>
    <col min="15379" max="15616" width="9.140625" style="23"/>
    <col min="15617" max="15617" width="12" style="23" customWidth="1"/>
    <col min="15618" max="15618" width="11.85546875" style="23" customWidth="1"/>
    <col min="15619" max="15619" width="15.7109375" style="23" customWidth="1"/>
    <col min="15620" max="15620" width="10.42578125" style="23" customWidth="1"/>
    <col min="15621" max="15621" width="9.28515625" style="23" customWidth="1"/>
    <col min="15622" max="15622" width="9.140625" style="23"/>
    <col min="15623" max="15623" width="10" style="23" customWidth="1"/>
    <col min="15624" max="15624" width="0" style="23" hidden="1" customWidth="1"/>
    <col min="15625" max="15625" width="15.140625" style="23" customWidth="1"/>
    <col min="15626" max="15626" width="0" style="23" hidden="1" customWidth="1"/>
    <col min="15627" max="15627" width="11.7109375" style="23" customWidth="1"/>
    <col min="15628" max="15628" width="8.42578125" style="23" customWidth="1"/>
    <col min="15629" max="15629" width="11.28515625" style="23" customWidth="1"/>
    <col min="15630" max="15630" width="15.42578125" style="23" customWidth="1"/>
    <col min="15631" max="15631" width="12.28515625" style="23" customWidth="1"/>
    <col min="15632" max="15632" width="9.140625" style="23"/>
    <col min="15633" max="15633" width="11.28515625" style="23" customWidth="1"/>
    <col min="15634" max="15634" width="13" style="23" customWidth="1"/>
    <col min="15635" max="15872" width="9.140625" style="23"/>
    <col min="15873" max="15873" width="12" style="23" customWidth="1"/>
    <col min="15874" max="15874" width="11.85546875" style="23" customWidth="1"/>
    <col min="15875" max="15875" width="15.7109375" style="23" customWidth="1"/>
    <col min="15876" max="15876" width="10.42578125" style="23" customWidth="1"/>
    <col min="15877" max="15877" width="9.28515625" style="23" customWidth="1"/>
    <col min="15878" max="15878" width="9.140625" style="23"/>
    <col min="15879" max="15879" width="10" style="23" customWidth="1"/>
    <col min="15880" max="15880" width="0" style="23" hidden="1" customWidth="1"/>
    <col min="15881" max="15881" width="15.140625" style="23" customWidth="1"/>
    <col min="15882" max="15882" width="0" style="23" hidden="1" customWidth="1"/>
    <col min="15883" max="15883" width="11.7109375" style="23" customWidth="1"/>
    <col min="15884" max="15884" width="8.42578125" style="23" customWidth="1"/>
    <col min="15885" max="15885" width="11.28515625" style="23" customWidth="1"/>
    <col min="15886" max="15886" width="15.42578125" style="23" customWidth="1"/>
    <col min="15887" max="15887" width="12.28515625" style="23" customWidth="1"/>
    <col min="15888" max="15888" width="9.140625" style="23"/>
    <col min="15889" max="15889" width="11.28515625" style="23" customWidth="1"/>
    <col min="15890" max="15890" width="13" style="23" customWidth="1"/>
    <col min="15891" max="16128" width="9.140625" style="23"/>
    <col min="16129" max="16129" width="12" style="23" customWidth="1"/>
    <col min="16130" max="16130" width="11.85546875" style="23" customWidth="1"/>
    <col min="16131" max="16131" width="15.7109375" style="23" customWidth="1"/>
    <col min="16132" max="16132" width="10.42578125" style="23" customWidth="1"/>
    <col min="16133" max="16133" width="9.28515625" style="23" customWidth="1"/>
    <col min="16134" max="16134" width="9.140625" style="23"/>
    <col min="16135" max="16135" width="10" style="23" customWidth="1"/>
    <col min="16136" max="16136" width="0" style="23" hidden="1" customWidth="1"/>
    <col min="16137" max="16137" width="15.140625" style="23" customWidth="1"/>
    <col min="16138" max="16138" width="0" style="23" hidden="1" customWidth="1"/>
    <col min="16139" max="16139" width="11.7109375" style="23" customWidth="1"/>
    <col min="16140" max="16140" width="8.42578125" style="23" customWidth="1"/>
    <col min="16141" max="16141" width="11.28515625" style="23" customWidth="1"/>
    <col min="16142" max="16142" width="15.42578125" style="23" customWidth="1"/>
    <col min="16143" max="16143" width="12.28515625" style="23" customWidth="1"/>
    <col min="16144" max="16144" width="9.140625" style="23"/>
    <col min="16145" max="16145" width="11.28515625" style="23" customWidth="1"/>
    <col min="16146" max="16146" width="13" style="23" customWidth="1"/>
    <col min="16147" max="16384" width="9.140625" style="23"/>
  </cols>
  <sheetData>
    <row r="1" spans="1:26" ht="15" customHeight="1" x14ac:dyDescent="0.25">
      <c r="A1" s="179" t="str">
        <f>'FRONT PAGE'!$A$1</f>
        <v>Columbine Therapy Services</v>
      </c>
      <c r="B1" s="179"/>
      <c r="C1" s="179"/>
      <c r="D1" s="179"/>
      <c r="E1" s="179"/>
      <c r="F1" s="179"/>
      <c r="G1" s="179"/>
      <c r="H1" s="179"/>
      <c r="I1" s="179"/>
      <c r="J1" s="20"/>
      <c r="K1" s="27" t="s">
        <v>35</v>
      </c>
      <c r="L1" s="27"/>
      <c r="M1" s="27"/>
      <c r="N1" s="27"/>
      <c r="O1" s="28">
        <f>+I18</f>
        <v>0</v>
      </c>
      <c r="Q1" s="2" t="str">
        <f>FORMULAS!K1</f>
        <v>PT</v>
      </c>
      <c r="R1" s="3">
        <v>1.7</v>
      </c>
      <c r="S1" s="140">
        <v>1.3</v>
      </c>
      <c r="T1" s="2">
        <f>FORMULAS!K10</f>
        <v>92506</v>
      </c>
      <c r="U1" s="13">
        <f>FORMULAS!L10</f>
        <v>0</v>
      </c>
      <c r="V1" s="2">
        <f>FORMULAS!K20</f>
        <v>97110</v>
      </c>
      <c r="W1" s="13">
        <f>FORMULAS!L20</f>
        <v>24.982500000000002</v>
      </c>
      <c r="X1" s="2">
        <f>FORMULAS!K30</f>
        <v>97535</v>
      </c>
      <c r="Y1" s="13">
        <f>FORMULAS!L30</f>
        <v>22.515000000000001</v>
      </c>
    </row>
    <row r="2" spans="1:26" ht="15" customHeight="1" x14ac:dyDescent="0.25">
      <c r="A2" s="113" t="s">
        <v>36</v>
      </c>
      <c r="B2" s="20"/>
      <c r="C2" s="20"/>
      <c r="D2" s="20"/>
      <c r="E2" s="20"/>
      <c r="F2" s="20"/>
      <c r="G2" s="20"/>
      <c r="H2" s="20"/>
      <c r="I2" s="20"/>
      <c r="J2" s="20"/>
      <c r="K2" s="27" t="s">
        <v>100</v>
      </c>
      <c r="L2" s="27"/>
      <c r="M2" s="27"/>
      <c r="N2" s="27"/>
      <c r="O2" s="28">
        <f>+I25+I32</f>
        <v>0</v>
      </c>
      <c r="Q2" s="2" t="str">
        <f>FORMULAS!K2</f>
        <v>OT</v>
      </c>
      <c r="R2" s="3">
        <v>1.7</v>
      </c>
      <c r="S2" s="140">
        <v>1.3</v>
      </c>
      <c r="T2" s="2">
        <f>FORMULAS!K11</f>
        <v>92507</v>
      </c>
      <c r="U2" s="13">
        <f>FORMULAS!L11</f>
        <v>60.465000000000003</v>
      </c>
      <c r="V2" s="2">
        <f>FORMULAS!K21</f>
        <v>97112</v>
      </c>
      <c r="W2" s="13">
        <f>FORMULAS!L21</f>
        <v>26.07</v>
      </c>
      <c r="X2" s="2">
        <f>FORMULAS!K31</f>
        <v>97542</v>
      </c>
      <c r="Y2" s="13">
        <f>FORMULAS!L31</f>
        <v>23.6175</v>
      </c>
    </row>
    <row r="3" spans="1:26" ht="15" customHeight="1" x14ac:dyDescent="0.25">
      <c r="B3" s="17"/>
      <c r="C3" s="17"/>
      <c r="D3" s="17"/>
      <c r="E3" s="17"/>
      <c r="F3" s="70"/>
      <c r="G3" s="17"/>
      <c r="H3" s="17"/>
      <c r="I3" s="20"/>
      <c r="J3" s="20"/>
      <c r="K3" s="27" t="s">
        <v>99</v>
      </c>
      <c r="L3" s="27"/>
      <c r="M3" s="27"/>
      <c r="N3" s="27"/>
      <c r="O3" s="28">
        <f>+I39</f>
        <v>0</v>
      </c>
      <c r="Q3" s="2" t="str">
        <f>FORMULAS!K3</f>
        <v>ST</v>
      </c>
      <c r="R3" s="3">
        <v>1.7</v>
      </c>
      <c r="S3" s="140">
        <v>1.3</v>
      </c>
      <c r="T3" s="2">
        <f>FORMULAS!K12</f>
        <v>97033</v>
      </c>
      <c r="U3" s="13">
        <f>FORMULAS!L12</f>
        <v>16.844999999999999</v>
      </c>
      <c r="V3" s="2">
        <f>FORMULAS!K22</f>
        <v>97116</v>
      </c>
      <c r="W3" s="13">
        <f>FORMULAS!L22</f>
        <v>21.705000000000002</v>
      </c>
      <c r="X3" s="2">
        <f>FORMULAS!K32</f>
        <v>92610</v>
      </c>
      <c r="Y3" s="13">
        <f>FORMULAS!L32</f>
        <v>65.947500000000005</v>
      </c>
    </row>
    <row r="4" spans="1:26" ht="15.75" x14ac:dyDescent="0.25">
      <c r="A4" s="20"/>
      <c r="B4" s="20"/>
      <c r="C4" s="20"/>
      <c r="D4" s="20"/>
      <c r="E4" s="20"/>
      <c r="F4" s="71"/>
      <c r="G4" s="20"/>
      <c r="H4" s="20"/>
      <c r="I4" s="145"/>
      <c r="J4" s="20"/>
      <c r="K4" s="27" t="s">
        <v>37</v>
      </c>
      <c r="L4" s="27"/>
      <c r="M4" s="27"/>
      <c r="N4" s="27"/>
      <c r="O4" s="28">
        <f>+I46 +I53</f>
        <v>0</v>
      </c>
      <c r="Q4" s="2"/>
      <c r="R4" s="29"/>
      <c r="T4" s="2">
        <f>FORMULAS!K13</f>
        <v>92526</v>
      </c>
      <c r="U4" s="13">
        <f>FORMULAS!L13</f>
        <v>65.917500000000004</v>
      </c>
      <c r="V4" s="2">
        <f>FORMULAS!K23</f>
        <v>97124</v>
      </c>
      <c r="W4" s="13">
        <f>FORMULAS!L23</f>
        <v>20.092500000000001</v>
      </c>
      <c r="X4" s="2">
        <v>97703</v>
      </c>
      <c r="Y4" s="13">
        <f>FORMULAS!L33</f>
        <v>82.44</v>
      </c>
    </row>
    <row r="5" spans="1:26" x14ac:dyDescent="0.2">
      <c r="A5" s="23" t="str">
        <f>'MCARE A'!A4</f>
        <v>Centre Ave Rehab</v>
      </c>
      <c r="G5" s="23" t="str">
        <f>'FRONT PAGE'!G4</f>
        <v>Invoice No:</v>
      </c>
      <c r="H5" s="23">
        <f>'FRONT PAGE'!H4</f>
        <v>0</v>
      </c>
      <c r="I5" s="115">
        <f>'FRONT PAGE'!$I$4</f>
        <v>0</v>
      </c>
      <c r="K5" s="27" t="s">
        <v>38</v>
      </c>
      <c r="L5" s="27"/>
      <c r="M5" s="27"/>
      <c r="N5" s="27"/>
      <c r="O5" s="28">
        <f>+I63</f>
        <v>0</v>
      </c>
      <c r="Q5" s="8"/>
      <c r="R5" s="8"/>
      <c r="T5" s="2">
        <f>FORMULAS!K14</f>
        <v>97001</v>
      </c>
      <c r="U5" s="13">
        <f>FORMULAS!L14</f>
        <v>57.12</v>
      </c>
      <c r="V5" s="2">
        <f>FORMULAS!K24</f>
        <v>97140</v>
      </c>
      <c r="W5" s="13">
        <f>FORMULAS!L24</f>
        <v>23.0625</v>
      </c>
      <c r="X5" s="2">
        <f>FORMULAS!K34</f>
        <v>92607</v>
      </c>
      <c r="Y5" s="13">
        <f>FORMULAS!L34</f>
        <v>97.987500000000011</v>
      </c>
    </row>
    <row r="6" spans="1:26" x14ac:dyDescent="0.2">
      <c r="A6" s="23" t="str">
        <f>'MCARE A'!A5</f>
        <v>Attn: Bookkeeping</v>
      </c>
      <c r="G6" s="23" t="str">
        <f>'FRONT PAGE'!G5</f>
        <v>Invoice Date:</v>
      </c>
      <c r="H6" s="23">
        <f>'FRONT PAGE'!H5</f>
        <v>0</v>
      </c>
      <c r="I6" s="116">
        <f>'FRONT PAGE'!I6</f>
        <v>0</v>
      </c>
      <c r="K6" s="27" t="s">
        <v>101</v>
      </c>
      <c r="L6" s="27"/>
      <c r="M6" s="27"/>
      <c r="N6" s="27"/>
      <c r="O6" s="28">
        <f>+I70+I77</f>
        <v>0</v>
      </c>
      <c r="Q6" s="23"/>
      <c r="R6" s="23"/>
      <c r="T6" s="2">
        <f>FORMULAS!K15</f>
        <v>97002</v>
      </c>
      <c r="U6" s="13">
        <f>FORMULAS!L15</f>
        <v>32.08</v>
      </c>
      <c r="V6" s="2">
        <f>FORMULAS!K25</f>
        <v>97150</v>
      </c>
      <c r="W6" s="13">
        <f>FORMULAS!L25</f>
        <v>13.282500000000001</v>
      </c>
      <c r="X6" s="2">
        <f>FORMULAS!K35</f>
        <v>97024</v>
      </c>
      <c r="Y6" s="13">
        <f>FORMULAS!L35</f>
        <v>5.1825000000000001</v>
      </c>
    </row>
    <row r="7" spans="1:26" ht="15" thickBot="1" x14ac:dyDescent="0.25">
      <c r="A7" s="23" t="str">
        <f>'MCARE A'!A6</f>
        <v>815 Centre Ave</v>
      </c>
      <c r="G7" s="8" t="str">
        <f>'FRONT PAGE'!G6</f>
        <v>Due Date:</v>
      </c>
      <c r="H7" s="23">
        <f>'FRONT PAGE'!H6</f>
        <v>0</v>
      </c>
      <c r="I7" s="116">
        <f>'FRONT PAGE'!I7</f>
        <v>0</v>
      </c>
      <c r="K7" s="27" t="s">
        <v>102</v>
      </c>
      <c r="L7" s="27"/>
      <c r="M7" s="27"/>
      <c r="N7" s="27"/>
      <c r="O7" s="28">
        <f>+I84</f>
        <v>0</v>
      </c>
      <c r="Q7" s="8"/>
      <c r="R7" s="8"/>
      <c r="T7" s="2">
        <f>FORMULAS!K16</f>
        <v>97003</v>
      </c>
      <c r="U7" s="13">
        <f>FORMULAS!L16</f>
        <v>64.16</v>
      </c>
      <c r="V7" s="2">
        <f>FORMULAS!K26</f>
        <v>97760</v>
      </c>
      <c r="W7" s="13">
        <f>FORMULAS!L26</f>
        <v>29.355</v>
      </c>
      <c r="X7" s="2" t="str">
        <f>FORMULAS!K36</f>
        <v>GO283</v>
      </c>
      <c r="Y7" s="13">
        <f>FORMULAS!L36</f>
        <v>10.52</v>
      </c>
    </row>
    <row r="8" spans="1:26" ht="15" thickBot="1" x14ac:dyDescent="0.25">
      <c r="A8" s="23" t="str">
        <f>'MCARE A'!A7</f>
        <v>Fort Collins, CO  80526</v>
      </c>
      <c r="G8" s="8" t="s">
        <v>28</v>
      </c>
      <c r="I8" s="72">
        <f>SUM(I154)</f>
        <v>0</v>
      </c>
      <c r="K8" s="27" t="s">
        <v>39</v>
      </c>
      <c r="L8" s="27"/>
      <c r="M8" s="27"/>
      <c r="N8" s="27"/>
      <c r="O8" s="28">
        <f>+I91 +I98</f>
        <v>0</v>
      </c>
      <c r="T8" s="2">
        <f>FORMULAS!K17</f>
        <v>97004</v>
      </c>
      <c r="U8" s="13">
        <f>FORMULAS!L17</f>
        <v>40.200000000000003</v>
      </c>
      <c r="V8" s="2">
        <f>FORMULAS!K27</f>
        <v>97530</v>
      </c>
      <c r="W8" s="13">
        <f>FORMULAS!L27</f>
        <v>26.880000000000003</v>
      </c>
      <c r="X8" s="2">
        <f>FORMULAS!K37</f>
        <v>97761</v>
      </c>
      <c r="Y8" s="13">
        <f>FORMULAS!L37</f>
        <v>25.53</v>
      </c>
    </row>
    <row r="9" spans="1:26" x14ac:dyDescent="0.2">
      <c r="G9" s="8"/>
      <c r="I9" s="55"/>
      <c r="K9" s="27" t="s">
        <v>40</v>
      </c>
      <c r="L9" s="27"/>
      <c r="M9" s="27"/>
      <c r="N9" s="27"/>
      <c r="O9" s="28">
        <f>+I109</f>
        <v>0</v>
      </c>
      <c r="T9" s="2">
        <f>FORMULAS!K18</f>
        <v>97032</v>
      </c>
      <c r="U9" s="13">
        <f>FORMULAS!L18</f>
        <v>14.662500000000001</v>
      </c>
      <c r="V9" s="2">
        <f>FORMULAS!K28</f>
        <v>97532</v>
      </c>
      <c r="W9" s="13">
        <f>FORMULAS!L28</f>
        <v>20.325000000000003</v>
      </c>
      <c r="X9" s="2">
        <f>FORMULAS!K38</f>
        <v>97762</v>
      </c>
      <c r="Y9" s="13">
        <f>FORMULAS!L38</f>
        <v>37.064999999999998</v>
      </c>
    </row>
    <row r="10" spans="1:26" ht="12.95" customHeight="1" x14ac:dyDescent="0.2">
      <c r="A10" s="148"/>
      <c r="B10" s="149"/>
      <c r="C10" s="150"/>
      <c r="D10" s="151"/>
      <c r="G10" s="8"/>
      <c r="I10" s="55"/>
      <c r="K10" s="27" t="s">
        <v>103</v>
      </c>
      <c r="L10" s="27"/>
      <c r="M10" s="27"/>
      <c r="N10" s="27"/>
      <c r="O10" s="28">
        <f>+I116+I123</f>
        <v>0</v>
      </c>
      <c r="T10" s="2">
        <f>FORMULAS!K19</f>
        <v>97035</v>
      </c>
      <c r="U10" s="13">
        <f>FORMULAS!L19</f>
        <v>9.7650000000000006</v>
      </c>
      <c r="V10" s="2">
        <f>FORMULAS!K29</f>
        <v>97533</v>
      </c>
      <c r="W10" s="13">
        <f>FORMULAS!L29</f>
        <v>22.1</v>
      </c>
      <c r="X10" s="2">
        <f>FORMULAS!K40</f>
        <v>96111</v>
      </c>
      <c r="Y10" s="13">
        <f>FORMULAS!L40</f>
        <v>100.5</v>
      </c>
    </row>
    <row r="11" spans="1:26" ht="12.95" customHeight="1" x14ac:dyDescent="0.2">
      <c r="A11" s="152"/>
      <c r="B11" s="152"/>
      <c r="C11" s="150"/>
      <c r="D11" s="151"/>
      <c r="F11" s="23"/>
      <c r="I11" s="23"/>
      <c r="K11" s="27" t="s">
        <v>104</v>
      </c>
      <c r="L11" s="27"/>
      <c r="M11" s="27"/>
      <c r="N11" s="27"/>
      <c r="O11" s="28">
        <f>+I135</f>
        <v>0</v>
      </c>
    </row>
    <row r="12" spans="1:26" ht="12.95" customHeight="1" x14ac:dyDescent="0.2">
      <c r="A12" s="152"/>
      <c r="B12" s="152"/>
      <c r="C12" s="150"/>
      <c r="D12" s="151"/>
      <c r="F12" s="23"/>
      <c r="I12" s="23"/>
      <c r="K12" s="27" t="s">
        <v>42</v>
      </c>
      <c r="L12" s="27"/>
      <c r="M12" s="27"/>
      <c r="N12" s="27"/>
      <c r="O12" s="28">
        <f>+I135 +I142</f>
        <v>0</v>
      </c>
      <c r="T12" s="2"/>
      <c r="U12" s="13"/>
      <c r="V12" s="2"/>
      <c r="W12" s="13"/>
      <c r="X12" s="2"/>
      <c r="Y12" s="13"/>
    </row>
    <row r="13" spans="1:26" ht="12.95" customHeight="1" x14ac:dyDescent="0.2">
      <c r="G13" s="8"/>
      <c r="I13" s="55"/>
      <c r="K13" s="27" t="s">
        <v>43</v>
      </c>
      <c r="L13" s="27"/>
      <c r="M13" s="27"/>
      <c r="N13" s="27"/>
      <c r="O13" s="28">
        <f>+I151</f>
        <v>0</v>
      </c>
    </row>
    <row r="14" spans="1:26" ht="13.5" customHeight="1" thickBot="1" x14ac:dyDescent="0.25">
      <c r="A14" s="8" t="s">
        <v>41</v>
      </c>
      <c r="F14" s="73"/>
      <c r="K14" s="27" t="s">
        <v>44</v>
      </c>
      <c r="L14" s="27"/>
      <c r="M14" s="27"/>
      <c r="N14" s="27"/>
      <c r="O14" s="30">
        <f>SUM(O1:O13)</f>
        <v>0</v>
      </c>
      <c r="Q14" s="164"/>
      <c r="R14" s="165"/>
      <c r="S14" s="134"/>
      <c r="T14" s="134"/>
      <c r="U14" s="134"/>
    </row>
    <row r="15" spans="1:26" ht="13.5" customHeight="1" thickTop="1" x14ac:dyDescent="0.2">
      <c r="A15" s="8" t="s">
        <v>17</v>
      </c>
      <c r="B15" s="8"/>
      <c r="C15" s="8"/>
      <c r="D15" s="33" t="s">
        <v>18</v>
      </c>
      <c r="E15" s="33"/>
      <c r="F15" s="74" t="s">
        <v>19</v>
      </c>
      <c r="G15" s="12" t="s">
        <v>20</v>
      </c>
      <c r="H15" s="12"/>
      <c r="I15" s="12" t="s">
        <v>21</v>
      </c>
      <c r="Q15" s="134"/>
      <c r="R15" s="134"/>
      <c r="S15" s="134"/>
      <c r="T15" s="134"/>
      <c r="U15" s="134"/>
      <c r="V15" s="134"/>
      <c r="W15" s="134"/>
      <c r="X15" s="134"/>
      <c r="Y15" s="134"/>
      <c r="Z15" s="134"/>
    </row>
    <row r="16" spans="1:26" ht="12" customHeight="1" x14ac:dyDescent="0.2">
      <c r="A16" s="8"/>
      <c r="B16" s="8"/>
      <c r="C16" s="8"/>
      <c r="D16" s="33"/>
      <c r="E16" s="33"/>
      <c r="F16" s="74"/>
      <c r="G16" s="12"/>
      <c r="H16" s="12"/>
      <c r="I16" s="12"/>
      <c r="Q16" s="2"/>
      <c r="R16" s="13"/>
    </row>
    <row r="17" spans="1:18" ht="12.95" customHeight="1" x14ac:dyDescent="0.2">
      <c r="A17" s="31"/>
      <c r="B17" s="31"/>
      <c r="C17" s="31"/>
      <c r="D17" s="36"/>
      <c r="E17" s="36"/>
      <c r="F17" s="64"/>
      <c r="G17" s="42"/>
      <c r="I17" s="43"/>
      <c r="K17" s="62"/>
      <c r="Q17" s="2"/>
      <c r="R17" s="13"/>
    </row>
    <row r="18" spans="1:18" ht="14.1" customHeight="1" thickBot="1" x14ac:dyDescent="0.25">
      <c r="A18" s="75" t="s">
        <v>35</v>
      </c>
      <c r="B18" s="8"/>
      <c r="C18" s="8"/>
      <c r="D18" s="33"/>
      <c r="E18" s="33"/>
      <c r="F18" s="74">
        <f>SUM(F15:F17)</f>
        <v>0</v>
      </c>
      <c r="G18" s="44">
        <f>+$R$1</f>
        <v>1.7</v>
      </c>
      <c r="H18" s="118"/>
      <c r="I18" s="76">
        <f>+F18*G18</f>
        <v>0</v>
      </c>
      <c r="K18" s="41">
        <f>SUM(I15:I17)</f>
        <v>0</v>
      </c>
      <c r="Q18" s="2"/>
      <c r="R18" s="13"/>
    </row>
    <row r="19" spans="1:18" ht="15" thickTop="1" x14ac:dyDescent="0.2">
      <c r="A19" s="31"/>
      <c r="B19" s="8"/>
      <c r="C19" s="8"/>
      <c r="D19" s="36"/>
      <c r="E19" s="33"/>
      <c r="F19" s="74"/>
      <c r="G19" s="12"/>
      <c r="I19" s="44"/>
      <c r="K19" s="77"/>
      <c r="Q19" s="2"/>
      <c r="R19" s="13"/>
    </row>
    <row r="20" spans="1:18" x14ac:dyDescent="0.2">
      <c r="A20" s="31"/>
      <c r="B20" s="8"/>
      <c r="C20" s="8"/>
      <c r="D20" s="36"/>
      <c r="E20" s="33"/>
      <c r="F20" s="74"/>
      <c r="G20" s="12"/>
      <c r="I20" s="44"/>
      <c r="K20" s="77"/>
      <c r="Q20" s="2"/>
      <c r="R20" s="13"/>
    </row>
    <row r="21" spans="1:18" ht="12" customHeight="1" x14ac:dyDescent="0.2">
      <c r="A21" s="8" t="s">
        <v>110</v>
      </c>
      <c r="D21" s="119"/>
      <c r="E21" s="119"/>
      <c r="F21" s="74"/>
      <c r="G21" s="118"/>
      <c r="K21" s="77"/>
      <c r="Q21" s="2"/>
      <c r="R21" s="13"/>
    </row>
    <row r="22" spans="1:18" ht="12.95" customHeight="1" x14ac:dyDescent="0.2">
      <c r="A22" s="8" t="str">
        <f>+A15</f>
        <v>Patient Name</v>
      </c>
      <c r="B22" s="8"/>
      <c r="C22" s="8" t="s">
        <v>45</v>
      </c>
      <c r="D22" s="33" t="s">
        <v>18</v>
      </c>
      <c r="E22" s="33"/>
      <c r="F22" s="74" t="s">
        <v>19</v>
      </c>
      <c r="G22" s="12" t="s">
        <v>6</v>
      </c>
      <c r="H22" s="8"/>
      <c r="I22" s="12" t="s">
        <v>46</v>
      </c>
      <c r="K22" s="77"/>
      <c r="Q22" s="2"/>
      <c r="R22" s="13"/>
    </row>
    <row r="23" spans="1:18" ht="12.95" customHeight="1" x14ac:dyDescent="0.2">
      <c r="A23" s="8"/>
      <c r="B23" s="8"/>
      <c r="C23" s="8"/>
      <c r="D23" s="33"/>
      <c r="E23" s="33"/>
      <c r="F23" s="74"/>
      <c r="G23" s="12"/>
      <c r="H23" s="8"/>
      <c r="I23" s="12"/>
      <c r="K23" s="77"/>
      <c r="Q23" s="2"/>
      <c r="R23" s="13"/>
    </row>
    <row r="24" spans="1:18" ht="12" customHeight="1" x14ac:dyDescent="0.2">
      <c r="A24" s="31"/>
      <c r="B24" s="31"/>
      <c r="C24" s="78"/>
      <c r="D24" s="36"/>
      <c r="E24" s="36"/>
      <c r="F24" s="64"/>
      <c r="G24" s="37"/>
      <c r="H24" s="8"/>
      <c r="I24" s="79"/>
      <c r="J24" s="77"/>
      <c r="K24" s="62"/>
      <c r="Q24" s="2"/>
      <c r="R24" s="13"/>
    </row>
    <row r="25" spans="1:18" ht="14.1" customHeight="1" thickBot="1" x14ac:dyDescent="0.25">
      <c r="A25" s="75" t="s">
        <v>100</v>
      </c>
      <c r="B25" s="8"/>
      <c r="C25" s="8"/>
      <c r="D25" s="33"/>
      <c r="E25" s="33"/>
      <c r="F25" s="74">
        <f>SUM($F$23:$F$24)</f>
        <v>0</v>
      </c>
      <c r="G25" s="44">
        <f>+$R$1</f>
        <v>1.7</v>
      </c>
      <c r="H25" s="118"/>
      <c r="I25" s="76">
        <f>+F25*G25</f>
        <v>0</v>
      </c>
      <c r="J25" s="77"/>
      <c r="K25" s="41">
        <f>SUM($I$23:$I$24)</f>
        <v>0</v>
      </c>
      <c r="Q25" s="2"/>
      <c r="R25" s="13"/>
    </row>
    <row r="26" spans="1:18" ht="14.1" customHeight="1" thickTop="1" x14ac:dyDescent="0.2">
      <c r="A26" s="75"/>
      <c r="B26" s="8"/>
      <c r="C26" s="8"/>
      <c r="D26" s="33"/>
      <c r="E26" s="33"/>
      <c r="F26" s="74"/>
      <c r="G26" s="44"/>
      <c r="H26" s="139"/>
      <c r="I26" s="76"/>
      <c r="J26" s="77"/>
      <c r="K26" s="77"/>
      <c r="Q26" s="2"/>
      <c r="R26" s="13"/>
    </row>
    <row r="27" spans="1:18" ht="14.1" customHeight="1" x14ac:dyDescent="0.2">
      <c r="A27" s="75"/>
      <c r="B27" s="8"/>
      <c r="C27" s="8"/>
      <c r="D27" s="33"/>
      <c r="E27" s="33"/>
      <c r="F27" s="74"/>
      <c r="G27" s="44"/>
      <c r="H27" s="157"/>
      <c r="I27" s="76"/>
      <c r="J27" s="77"/>
      <c r="K27" s="77"/>
      <c r="Q27" s="2"/>
      <c r="R27" s="13"/>
    </row>
    <row r="28" spans="1:18" ht="12" customHeight="1" x14ac:dyDescent="0.2">
      <c r="A28" s="8" t="s">
        <v>111</v>
      </c>
      <c r="D28" s="119"/>
      <c r="E28" s="119"/>
      <c r="F28" s="74"/>
      <c r="G28" s="139"/>
      <c r="I28" s="139"/>
      <c r="K28" s="77"/>
      <c r="Q28" s="2"/>
      <c r="R28" s="13"/>
    </row>
    <row r="29" spans="1:18" ht="12.95" customHeight="1" x14ac:dyDescent="0.2">
      <c r="A29" s="8" t="s">
        <v>17</v>
      </c>
      <c r="B29" s="8"/>
      <c r="C29" s="8" t="s">
        <v>45</v>
      </c>
      <c r="D29" s="33" t="s">
        <v>18</v>
      </c>
      <c r="E29" s="33"/>
      <c r="F29" s="74" t="s">
        <v>19</v>
      </c>
      <c r="G29" s="12" t="s">
        <v>6</v>
      </c>
      <c r="H29" s="8"/>
      <c r="I29" s="12" t="s">
        <v>46</v>
      </c>
      <c r="K29" s="77"/>
      <c r="Q29" s="2"/>
      <c r="R29" s="13"/>
    </row>
    <row r="30" spans="1:18" ht="12.95" customHeight="1" x14ac:dyDescent="0.2">
      <c r="A30" s="8"/>
      <c r="B30" s="8"/>
      <c r="C30" s="8"/>
      <c r="D30" s="33"/>
      <c r="E30" s="33"/>
      <c r="F30" s="74"/>
      <c r="G30" s="12"/>
      <c r="H30" s="8"/>
      <c r="I30" s="12"/>
      <c r="K30" s="77"/>
      <c r="Q30" s="2"/>
      <c r="R30" s="13"/>
    </row>
    <row r="31" spans="1:18" ht="12" customHeight="1" x14ac:dyDescent="0.2">
      <c r="A31" s="31"/>
      <c r="B31" s="31"/>
      <c r="C31" s="78"/>
      <c r="D31" s="36"/>
      <c r="E31" s="36"/>
      <c r="F31" s="64"/>
      <c r="G31" s="37"/>
      <c r="H31" s="8"/>
      <c r="I31" s="79"/>
      <c r="J31" s="77"/>
      <c r="Q31" s="2"/>
      <c r="R31" s="13"/>
    </row>
    <row r="32" spans="1:18" ht="14.1" customHeight="1" thickBot="1" x14ac:dyDescent="0.25">
      <c r="A32" s="75" t="s">
        <v>112</v>
      </c>
      <c r="B32" s="8"/>
      <c r="C32" s="8"/>
      <c r="D32" s="33"/>
      <c r="E32" s="33"/>
      <c r="F32" s="74">
        <f>SUM($F$31:$F$31)</f>
        <v>0</v>
      </c>
      <c r="G32" s="44">
        <f>+$S$1</f>
        <v>1.3</v>
      </c>
      <c r="H32" s="139"/>
      <c r="I32" s="76">
        <f>+F32*G32</f>
        <v>0</v>
      </c>
      <c r="J32" s="77"/>
      <c r="K32" s="41">
        <f>SUM($I$31:$I$31)</f>
        <v>0</v>
      </c>
      <c r="Q32" s="2"/>
      <c r="R32" s="13"/>
    </row>
    <row r="33" spans="1:18" ht="14.1" customHeight="1" thickTop="1" x14ac:dyDescent="0.2">
      <c r="A33" s="75"/>
      <c r="B33" s="8"/>
      <c r="C33" s="8"/>
      <c r="D33" s="33"/>
      <c r="E33" s="33"/>
      <c r="F33" s="74"/>
      <c r="G33" s="44"/>
      <c r="H33" s="139"/>
      <c r="I33" s="76"/>
      <c r="J33" s="77"/>
      <c r="K33" s="62"/>
      <c r="Q33" s="2"/>
      <c r="R33" s="13"/>
    </row>
    <row r="34" spans="1:18" ht="14.1" customHeight="1" x14ac:dyDescent="0.2">
      <c r="A34" s="75"/>
      <c r="B34" s="8"/>
      <c r="C34" s="8"/>
      <c r="D34" s="33"/>
      <c r="E34" s="33"/>
      <c r="F34" s="74"/>
      <c r="G34" s="44"/>
      <c r="H34" s="157"/>
      <c r="I34" s="76"/>
      <c r="J34" s="77"/>
      <c r="K34" s="62"/>
      <c r="Q34" s="2"/>
      <c r="R34" s="13"/>
    </row>
    <row r="35" spans="1:18" ht="12" customHeight="1" x14ac:dyDescent="0.2">
      <c r="A35" s="8" t="s">
        <v>109</v>
      </c>
      <c r="B35" s="31"/>
      <c r="C35" s="31"/>
      <c r="D35" s="36"/>
      <c r="E35" s="36"/>
      <c r="F35" s="64"/>
      <c r="G35" s="60"/>
      <c r="H35" s="31"/>
      <c r="I35" s="60"/>
      <c r="K35" s="62"/>
      <c r="Q35" s="2"/>
      <c r="R35" s="13"/>
    </row>
    <row r="36" spans="1:18" x14ac:dyDescent="0.2">
      <c r="A36" s="8" t="s">
        <v>17</v>
      </c>
      <c r="C36" s="8" t="s">
        <v>45</v>
      </c>
      <c r="D36" s="33" t="s">
        <v>18</v>
      </c>
      <c r="E36" s="119"/>
      <c r="F36" s="12" t="s">
        <v>30</v>
      </c>
      <c r="G36" s="12" t="s">
        <v>6</v>
      </c>
      <c r="H36" s="118"/>
      <c r="I36" s="55" t="s">
        <v>21</v>
      </c>
      <c r="K36" s="62"/>
      <c r="Q36" s="2"/>
      <c r="R36" s="13"/>
    </row>
    <row r="37" spans="1:18" x14ac:dyDescent="0.2">
      <c r="A37" s="58"/>
      <c r="C37" s="8"/>
      <c r="D37" s="36"/>
      <c r="E37" s="119"/>
      <c r="F37" s="158"/>
      <c r="G37" s="37">
        <f>IFERROR(VLOOKUP(A37, FORMULAS!K10:L53, 2, FALSE), 0)</f>
        <v>0</v>
      </c>
      <c r="H37" s="80"/>
      <c r="I37" s="79">
        <f>G37*F37</f>
        <v>0</v>
      </c>
      <c r="K37" s="62"/>
      <c r="Q37" s="2"/>
      <c r="R37" s="13"/>
    </row>
    <row r="38" spans="1:18" x14ac:dyDescent="0.2">
      <c r="A38" s="58"/>
      <c r="B38" s="8"/>
      <c r="C38" s="31"/>
      <c r="D38" s="36"/>
      <c r="E38" s="33"/>
      <c r="F38" s="155"/>
      <c r="H38" s="80"/>
      <c r="I38" s="79"/>
      <c r="K38" s="62"/>
      <c r="Q38" s="2"/>
      <c r="R38" s="13"/>
    </row>
    <row r="39" spans="1:18" ht="15" thickBot="1" x14ac:dyDescent="0.25">
      <c r="A39" s="75" t="s">
        <v>99</v>
      </c>
      <c r="E39" s="35"/>
      <c r="F39" s="12">
        <f>SUM(F36:F38)</f>
        <v>0</v>
      </c>
      <c r="G39" s="12"/>
      <c r="H39" s="8"/>
      <c r="I39" s="76">
        <f>SUM(I36:I38)</f>
        <v>0</v>
      </c>
      <c r="K39" s="41">
        <f>SUM(I36:I38)</f>
        <v>0</v>
      </c>
      <c r="Q39" s="2"/>
      <c r="R39" s="13"/>
    </row>
    <row r="40" spans="1:18" ht="15" thickTop="1" x14ac:dyDescent="0.2">
      <c r="A40" s="75"/>
      <c r="E40" s="35"/>
      <c r="F40" s="12"/>
      <c r="G40" s="12"/>
      <c r="H40" s="8"/>
      <c r="I40" s="55"/>
      <c r="Q40" s="2"/>
      <c r="R40" s="13"/>
    </row>
    <row r="41" spans="1:18" x14ac:dyDescent="0.2">
      <c r="A41" s="75"/>
      <c r="E41" s="35"/>
      <c r="F41" s="12"/>
      <c r="G41" s="12"/>
      <c r="H41" s="8"/>
      <c r="I41" s="55"/>
      <c r="K41" s="62"/>
      <c r="Q41" s="2"/>
      <c r="R41" s="13"/>
    </row>
    <row r="42" spans="1:18" x14ac:dyDescent="0.2">
      <c r="A42" s="8" t="s">
        <v>47</v>
      </c>
      <c r="E42" s="35"/>
      <c r="F42" s="12"/>
      <c r="G42" s="12"/>
      <c r="H42" s="8"/>
      <c r="I42" s="55"/>
      <c r="Q42" s="2"/>
      <c r="R42" s="13"/>
    </row>
    <row r="43" spans="1:18" x14ac:dyDescent="0.2">
      <c r="A43" s="8" t="s">
        <v>17</v>
      </c>
      <c r="C43" s="8" t="s">
        <v>45</v>
      </c>
      <c r="D43" s="33" t="s">
        <v>18</v>
      </c>
      <c r="E43" s="119"/>
      <c r="F43" s="12" t="s">
        <v>30</v>
      </c>
      <c r="G43" s="12" t="s">
        <v>6</v>
      </c>
      <c r="H43" s="118"/>
      <c r="I43" s="55" t="s">
        <v>21</v>
      </c>
      <c r="Q43" s="2"/>
      <c r="R43" s="13"/>
    </row>
    <row r="44" spans="1:18" x14ac:dyDescent="0.2">
      <c r="A44" s="58"/>
      <c r="D44" s="36"/>
      <c r="E44" s="36"/>
      <c r="F44" s="144"/>
      <c r="G44" s="178">
        <f>IFERROR(VLOOKUP(A44, FORMULAS!K10:L53, 2, FALSE), 0)</f>
        <v>0</v>
      </c>
      <c r="H44" s="8"/>
      <c r="I44" s="79">
        <f>G44*F44</f>
        <v>0</v>
      </c>
      <c r="Q44" s="2"/>
      <c r="R44" s="13"/>
    </row>
    <row r="45" spans="1:18" s="31" customFormat="1" ht="14.1" customHeight="1" x14ac:dyDescent="0.2">
      <c r="B45" s="81"/>
      <c r="C45" s="82"/>
      <c r="D45" s="83"/>
      <c r="E45" s="83"/>
      <c r="F45" s="84"/>
      <c r="H45" s="80"/>
      <c r="I45" s="85"/>
      <c r="Q45" s="60"/>
      <c r="R45" s="38"/>
    </row>
    <row r="46" spans="1:18" ht="15" thickBot="1" x14ac:dyDescent="0.25">
      <c r="A46" s="75" t="s">
        <v>48</v>
      </c>
      <c r="E46" s="35"/>
      <c r="F46" s="12">
        <f>SUM(F43:F45)</f>
        <v>0</v>
      </c>
      <c r="G46" s="12"/>
      <c r="H46" s="8"/>
      <c r="I46" s="76">
        <f>SUM(I43:I45)</f>
        <v>0</v>
      </c>
      <c r="K46" s="41">
        <f>SUM(I43:I45)</f>
        <v>0</v>
      </c>
      <c r="Q46" s="2"/>
      <c r="R46" s="13"/>
    </row>
    <row r="47" spans="1:18" ht="15" thickTop="1" x14ac:dyDescent="0.2">
      <c r="A47" s="75"/>
      <c r="E47" s="35"/>
      <c r="F47" s="12"/>
      <c r="G47" s="12"/>
      <c r="H47" s="8"/>
      <c r="I47" s="55"/>
      <c r="K47" s="62"/>
      <c r="Q47" s="2"/>
      <c r="R47" s="13"/>
    </row>
    <row r="48" spans="1:18" x14ac:dyDescent="0.2">
      <c r="A48" s="86" t="s">
        <v>49</v>
      </c>
      <c r="B48" s="8"/>
      <c r="C48" s="8"/>
      <c r="D48" s="36"/>
      <c r="E48" s="33"/>
      <c r="F48" s="64"/>
      <c r="G48" s="12"/>
      <c r="I48" s="44"/>
      <c r="K48" s="87"/>
      <c r="L48" s="87"/>
      <c r="M48" s="87"/>
      <c r="N48" s="87"/>
      <c r="O48" s="87"/>
      <c r="Q48" s="2"/>
      <c r="R48" s="13"/>
    </row>
    <row r="49" spans="1:18" x14ac:dyDescent="0.2">
      <c r="A49" s="8" t="s">
        <v>50</v>
      </c>
      <c r="D49" s="119"/>
      <c r="E49" s="119"/>
      <c r="F49" s="74"/>
      <c r="G49" s="118"/>
      <c r="I49" s="121"/>
      <c r="Q49" s="2"/>
      <c r="R49" s="13"/>
    </row>
    <row r="50" spans="1:18" ht="12" customHeight="1" x14ac:dyDescent="0.2">
      <c r="A50" s="8" t="s">
        <v>17</v>
      </c>
      <c r="B50" s="8"/>
      <c r="C50" s="8"/>
      <c r="D50" s="33" t="s">
        <v>18</v>
      </c>
      <c r="E50" s="33"/>
      <c r="F50" s="74" t="s">
        <v>19</v>
      </c>
      <c r="G50" s="12" t="s">
        <v>6</v>
      </c>
      <c r="H50" s="8"/>
      <c r="I50" s="16" t="s">
        <v>46</v>
      </c>
      <c r="Q50" s="2"/>
      <c r="R50" s="13"/>
    </row>
    <row r="51" spans="1:18" s="87" customFormat="1" ht="12" customHeight="1" x14ac:dyDescent="0.2">
      <c r="A51" s="56"/>
      <c r="D51" s="36"/>
      <c r="E51" s="36"/>
      <c r="F51" s="64"/>
      <c r="G51" s="42">
        <f>+$R$1</f>
        <v>1.7</v>
      </c>
      <c r="H51" s="31"/>
      <c r="I51" s="43">
        <f>+F51*G51</f>
        <v>0</v>
      </c>
      <c r="K51" s="23"/>
      <c r="L51" s="23"/>
      <c r="M51" s="23"/>
      <c r="N51" s="23"/>
      <c r="O51" s="23"/>
      <c r="Q51" s="89"/>
      <c r="R51" s="13"/>
    </row>
    <row r="52" spans="1:18" ht="12" customHeight="1" x14ac:dyDescent="0.2">
      <c r="A52" s="58"/>
      <c r="B52" s="8"/>
      <c r="C52" s="8"/>
      <c r="D52" s="36"/>
      <c r="E52" s="33"/>
      <c r="F52" s="74"/>
      <c r="G52" s="42"/>
      <c r="I52" s="76"/>
      <c r="Q52" s="2"/>
      <c r="R52" s="13"/>
    </row>
    <row r="53" spans="1:18" ht="14.1" customHeight="1" thickBot="1" x14ac:dyDescent="0.25">
      <c r="A53" s="75" t="s">
        <v>37</v>
      </c>
      <c r="B53" s="8"/>
      <c r="C53" s="8"/>
      <c r="D53" s="33"/>
      <c r="E53" s="33"/>
      <c r="F53" s="74">
        <f>SUM(F51:F52)</f>
        <v>0</v>
      </c>
      <c r="G53" s="44">
        <f>+$R$2</f>
        <v>1.7</v>
      </c>
      <c r="H53" s="118"/>
      <c r="I53" s="90">
        <f>+F53*G53</f>
        <v>0</v>
      </c>
      <c r="K53" s="41">
        <f>SUM(I50:I52)</f>
        <v>0</v>
      </c>
      <c r="L53" s="92">
        <f>SUM(K17:K53)</f>
        <v>0</v>
      </c>
      <c r="Q53" s="2"/>
      <c r="R53" s="13"/>
    </row>
    <row r="54" spans="1:18" ht="12" customHeight="1" thickTop="1" x14ac:dyDescent="0.2">
      <c r="A54" s="8"/>
      <c r="B54" s="8"/>
      <c r="C54" s="8"/>
      <c r="D54" s="33"/>
      <c r="E54" s="33"/>
      <c r="F54" s="74"/>
      <c r="G54" s="12"/>
      <c r="I54" s="44"/>
      <c r="Q54" s="2"/>
      <c r="R54" s="13"/>
    </row>
    <row r="55" spans="1:18" ht="12" customHeight="1" x14ac:dyDescent="0.2">
      <c r="D55" s="119"/>
      <c r="E55" s="119"/>
      <c r="F55" s="120"/>
      <c r="G55" s="118"/>
      <c r="Q55" s="2"/>
      <c r="R55" s="13"/>
    </row>
    <row r="56" spans="1:18" ht="15" thickBot="1" x14ac:dyDescent="0.25">
      <c r="A56" s="8"/>
      <c r="D56" s="119"/>
      <c r="E56" s="119"/>
      <c r="F56" s="74"/>
      <c r="G56" s="35" t="s">
        <v>22</v>
      </c>
      <c r="I56" s="91">
        <f>SUM(I18,I25,I39,I46,I32,I53)</f>
        <v>0</v>
      </c>
      <c r="L56" s="93"/>
      <c r="Q56" s="2"/>
      <c r="R56" s="13"/>
    </row>
    <row r="57" spans="1:18" ht="15" thickTop="1" x14ac:dyDescent="0.2">
      <c r="A57" s="8"/>
      <c r="D57" s="119"/>
      <c r="E57" s="119"/>
      <c r="F57" s="74"/>
      <c r="G57" s="35"/>
      <c r="I57" s="55"/>
      <c r="Q57" s="2"/>
      <c r="R57" s="13"/>
    </row>
    <row r="58" spans="1:18" x14ac:dyDescent="0.2">
      <c r="A58" s="8"/>
      <c r="D58" s="119"/>
      <c r="E58" s="119"/>
      <c r="F58" s="74"/>
      <c r="G58" s="35"/>
      <c r="I58" s="55"/>
      <c r="Q58" s="2"/>
      <c r="R58" s="13"/>
    </row>
    <row r="59" spans="1:18" ht="12.95" customHeight="1" x14ac:dyDescent="0.2">
      <c r="A59" s="8" t="s">
        <v>51</v>
      </c>
      <c r="D59" s="119"/>
      <c r="E59" s="119"/>
      <c r="F59" s="74"/>
      <c r="G59" s="118"/>
    </row>
    <row r="60" spans="1:18" ht="12.95" customHeight="1" x14ac:dyDescent="0.2">
      <c r="A60" s="8" t="s">
        <v>17</v>
      </c>
      <c r="B60" s="8"/>
      <c r="C60" s="8"/>
      <c r="D60" s="33" t="s">
        <v>18</v>
      </c>
      <c r="E60" s="33"/>
      <c r="F60" s="74" t="s">
        <v>19</v>
      </c>
      <c r="G60" s="12" t="s">
        <v>6</v>
      </c>
      <c r="H60" s="8"/>
      <c r="I60" s="12" t="s">
        <v>46</v>
      </c>
    </row>
    <row r="61" spans="1:18" ht="12.95" customHeight="1" x14ac:dyDescent="0.2">
      <c r="A61" s="59"/>
      <c r="B61" s="8"/>
      <c r="C61" s="31"/>
      <c r="D61" s="36"/>
      <c r="E61" s="36"/>
      <c r="F61" s="64"/>
      <c r="G61" s="42"/>
      <c r="H61" s="31"/>
      <c r="I61" s="43"/>
      <c r="K61" s="62"/>
    </row>
    <row r="62" spans="1:18" ht="12.95" customHeight="1" x14ac:dyDescent="0.2">
      <c r="A62" s="56"/>
      <c r="B62" s="8"/>
      <c r="C62" s="8"/>
      <c r="D62" s="33"/>
      <c r="E62" s="33"/>
      <c r="F62" s="74"/>
      <c r="G62" s="12"/>
      <c r="H62" s="8"/>
      <c r="I62" s="94"/>
    </row>
    <row r="63" spans="1:18" ht="12.95" customHeight="1" thickBot="1" x14ac:dyDescent="0.25">
      <c r="A63" s="75" t="s">
        <v>38</v>
      </c>
      <c r="B63" s="8"/>
      <c r="C63" s="8"/>
      <c r="D63" s="33"/>
      <c r="E63" s="33"/>
      <c r="F63" s="74">
        <f>SUM(F60:F61)</f>
        <v>0</v>
      </c>
      <c r="G63" s="44">
        <f>+$R$2</f>
        <v>1.7</v>
      </c>
      <c r="H63" s="118"/>
      <c r="I63" s="90">
        <f>+F63*G63</f>
        <v>0</v>
      </c>
      <c r="K63" s="41">
        <f>SUM(I60:I62)</f>
        <v>0</v>
      </c>
    </row>
    <row r="64" spans="1:18" ht="12.95" customHeight="1" thickTop="1" x14ac:dyDescent="0.2">
      <c r="A64" s="75"/>
      <c r="B64" s="8"/>
      <c r="C64" s="8"/>
      <c r="D64" s="33"/>
      <c r="E64" s="33"/>
      <c r="F64" s="74"/>
      <c r="G64" s="44"/>
      <c r="H64" s="118"/>
      <c r="I64" s="44"/>
    </row>
    <row r="65" spans="1:18" ht="12.95" customHeight="1" x14ac:dyDescent="0.2">
      <c r="A65" s="8"/>
      <c r="B65" s="8"/>
      <c r="C65" s="8"/>
      <c r="D65" s="33"/>
      <c r="E65" s="33"/>
      <c r="F65" s="74"/>
      <c r="G65" s="12"/>
      <c r="I65" s="44"/>
    </row>
    <row r="66" spans="1:18" ht="12" customHeight="1" x14ac:dyDescent="0.2">
      <c r="A66" s="8" t="s">
        <v>117</v>
      </c>
      <c r="D66" s="119"/>
      <c r="E66" s="119"/>
      <c r="F66" s="74"/>
      <c r="G66" s="118"/>
    </row>
    <row r="67" spans="1:18" ht="12" customHeight="1" x14ac:dyDescent="0.2">
      <c r="A67" s="8" t="s">
        <v>17</v>
      </c>
      <c r="B67" s="8"/>
      <c r="C67" s="8" t="s">
        <v>45</v>
      </c>
      <c r="D67" s="33" t="s">
        <v>18</v>
      </c>
      <c r="E67" s="33"/>
      <c r="F67" s="74" t="s">
        <v>19</v>
      </c>
      <c r="G67" s="12" t="s">
        <v>6</v>
      </c>
      <c r="H67" s="8"/>
      <c r="I67" s="12" t="s">
        <v>46</v>
      </c>
    </row>
    <row r="68" spans="1:18" ht="12" customHeight="1" x14ac:dyDescent="0.2">
      <c r="D68" s="36"/>
      <c r="E68" s="33"/>
      <c r="F68" s="120"/>
      <c r="G68" s="42"/>
      <c r="I68" s="43"/>
    </row>
    <row r="69" spans="1:18" ht="12" customHeight="1" x14ac:dyDescent="0.2">
      <c r="A69" s="8"/>
      <c r="B69" s="8"/>
      <c r="C69" s="8"/>
      <c r="D69" s="36"/>
      <c r="E69" s="33"/>
      <c r="F69" s="74"/>
      <c r="G69" s="12"/>
      <c r="H69" s="8"/>
      <c r="I69" s="94"/>
      <c r="K69" s="62"/>
    </row>
    <row r="70" spans="1:18" ht="14.1" customHeight="1" thickBot="1" x14ac:dyDescent="0.25">
      <c r="A70" s="75" t="s">
        <v>101</v>
      </c>
      <c r="B70" s="8"/>
      <c r="C70" s="8"/>
      <c r="D70" s="33"/>
      <c r="E70" s="33"/>
      <c r="F70" s="74">
        <f>SUM($F$68:$F$69)</f>
        <v>0</v>
      </c>
      <c r="G70" s="44">
        <f>+$R$2</f>
        <v>1.7</v>
      </c>
      <c r="H70" s="118"/>
      <c r="I70" s="90">
        <f>+F70*G70</f>
        <v>0</v>
      </c>
      <c r="K70" s="41">
        <f>SUM($I$68:$I$69)</f>
        <v>0</v>
      </c>
    </row>
    <row r="71" spans="1:18" ht="14.1" customHeight="1" thickTop="1" x14ac:dyDescent="0.2">
      <c r="A71" s="75"/>
      <c r="B71" s="8"/>
      <c r="C71" s="8"/>
      <c r="D71" s="33"/>
      <c r="E71" s="33"/>
      <c r="F71" s="74"/>
      <c r="G71" s="44"/>
      <c r="H71" s="157"/>
      <c r="I71" s="90"/>
      <c r="K71" s="62"/>
    </row>
    <row r="72" spans="1:18" ht="14.1" customHeight="1" x14ac:dyDescent="0.2">
      <c r="A72" s="75"/>
      <c r="B72" s="8"/>
      <c r="C72" s="8"/>
      <c r="D72" s="33"/>
      <c r="E72" s="33"/>
      <c r="F72" s="74"/>
      <c r="G72" s="44"/>
      <c r="H72" s="139"/>
      <c r="I72" s="90"/>
    </row>
    <row r="73" spans="1:18" ht="12" customHeight="1" x14ac:dyDescent="0.2">
      <c r="A73" s="8" t="s">
        <v>115</v>
      </c>
      <c r="D73" s="119"/>
      <c r="E73" s="119"/>
      <c r="F73" s="74"/>
      <c r="G73" s="139"/>
      <c r="I73" s="139"/>
    </row>
    <row r="74" spans="1:18" ht="12" customHeight="1" x14ac:dyDescent="0.2">
      <c r="A74" s="8" t="s">
        <v>17</v>
      </c>
      <c r="B74" s="8"/>
      <c r="C74" s="8" t="s">
        <v>45</v>
      </c>
      <c r="D74" s="33" t="s">
        <v>18</v>
      </c>
      <c r="E74" s="33"/>
      <c r="F74" s="74" t="s">
        <v>19</v>
      </c>
      <c r="G74" s="12" t="s">
        <v>6</v>
      </c>
      <c r="H74" s="8"/>
      <c r="I74" s="12" t="s">
        <v>46</v>
      </c>
    </row>
    <row r="75" spans="1:18" ht="12" customHeight="1" x14ac:dyDescent="0.2">
      <c r="A75" s="31"/>
      <c r="B75" s="25"/>
      <c r="C75" s="25"/>
      <c r="D75" s="36"/>
      <c r="E75" s="33"/>
      <c r="F75" s="147"/>
      <c r="G75" s="42"/>
      <c r="I75" s="43"/>
      <c r="Q75" s="2"/>
      <c r="R75" s="13"/>
    </row>
    <row r="76" spans="1:18" ht="12" customHeight="1" x14ac:dyDescent="0.2">
      <c r="A76" s="8"/>
      <c r="B76" s="8"/>
      <c r="C76" s="8"/>
      <c r="D76" s="33"/>
      <c r="E76" s="33"/>
      <c r="F76" s="74"/>
      <c r="G76" s="12"/>
      <c r="H76" s="8"/>
      <c r="I76" s="94"/>
    </row>
    <row r="77" spans="1:18" ht="14.1" customHeight="1" thickBot="1" x14ac:dyDescent="0.25">
      <c r="A77" s="75" t="s">
        <v>116</v>
      </c>
      <c r="B77" s="8"/>
      <c r="C77" s="8"/>
      <c r="D77" s="33"/>
      <c r="E77" s="33"/>
      <c r="F77" s="74">
        <f>SUM($F$75:$F$76)</f>
        <v>0</v>
      </c>
      <c r="G77" s="44">
        <v>1.3</v>
      </c>
      <c r="H77" s="139"/>
      <c r="I77" s="90">
        <f>+F77*G77</f>
        <v>0</v>
      </c>
      <c r="K77" s="41">
        <f>SUM($I$75:$I$76)</f>
        <v>0</v>
      </c>
    </row>
    <row r="78" spans="1:18" ht="14.1" customHeight="1" thickTop="1" x14ac:dyDescent="0.2">
      <c r="A78" s="75"/>
      <c r="B78" s="8"/>
      <c r="C78" s="8"/>
      <c r="D78" s="33"/>
      <c r="E78" s="33"/>
      <c r="F78" s="74"/>
      <c r="G78" s="44"/>
      <c r="H78" s="139"/>
      <c r="I78" s="90"/>
    </row>
    <row r="79" spans="1:18" ht="14.1" customHeight="1" x14ac:dyDescent="0.2">
      <c r="A79" s="75"/>
      <c r="B79" s="8"/>
      <c r="C79" s="8"/>
      <c r="D79" s="33"/>
      <c r="E79" s="33"/>
      <c r="F79" s="74"/>
      <c r="G79" s="44"/>
      <c r="H79" s="157"/>
      <c r="I79" s="90"/>
    </row>
    <row r="80" spans="1:18" ht="12.95" customHeight="1" x14ac:dyDescent="0.2">
      <c r="A80" s="8" t="s">
        <v>114</v>
      </c>
      <c r="B80" s="8"/>
      <c r="C80" s="8"/>
      <c r="D80" s="33"/>
      <c r="E80" s="33"/>
      <c r="F80" s="74"/>
      <c r="G80" s="44"/>
      <c r="H80" s="118"/>
      <c r="I80" s="44"/>
    </row>
    <row r="81" spans="1:18" x14ac:dyDescent="0.2">
      <c r="A81" s="8" t="s">
        <v>17</v>
      </c>
      <c r="C81" s="8" t="s">
        <v>45</v>
      </c>
      <c r="D81" s="33" t="s">
        <v>18</v>
      </c>
      <c r="E81" s="119"/>
      <c r="F81" s="12" t="s">
        <v>30</v>
      </c>
      <c r="G81" s="12" t="s">
        <v>6</v>
      </c>
      <c r="H81" s="118"/>
      <c r="I81" s="55" t="s">
        <v>21</v>
      </c>
      <c r="Q81" s="12"/>
      <c r="R81" s="38"/>
    </row>
    <row r="82" spans="1:18" x14ac:dyDescent="0.2">
      <c r="A82" s="58"/>
      <c r="B82" s="31"/>
      <c r="C82" s="31"/>
      <c r="D82" s="36"/>
      <c r="E82" s="33"/>
      <c r="F82" s="158"/>
      <c r="G82" s="178">
        <f>IFERROR(VLOOKUP(A82, FORMULAS!K48:L91, 2, FALSE), 0)</f>
        <v>0</v>
      </c>
      <c r="H82" s="8"/>
      <c r="I82" s="42">
        <f t="shared" ref="I82" si="0">+G82*F82</f>
        <v>0</v>
      </c>
      <c r="Q82" s="23"/>
      <c r="R82" s="23"/>
    </row>
    <row r="83" spans="1:18" ht="12.95" customHeight="1" x14ac:dyDescent="0.2">
      <c r="A83" s="58"/>
      <c r="B83" s="31"/>
      <c r="C83" s="31"/>
      <c r="D83" s="36"/>
      <c r="E83" s="33"/>
      <c r="F83" s="63"/>
      <c r="G83" s="42"/>
      <c r="H83" s="8"/>
      <c r="I83" s="42"/>
      <c r="K83" s="62"/>
      <c r="Q83" s="2"/>
      <c r="R83" s="13"/>
    </row>
    <row r="84" spans="1:18" ht="15" thickBot="1" x14ac:dyDescent="0.25">
      <c r="A84" s="75" t="s">
        <v>102</v>
      </c>
      <c r="E84" s="35"/>
      <c r="F84" s="12">
        <f>SUM(F81:F83)</f>
        <v>0</v>
      </c>
      <c r="G84" s="42"/>
      <c r="H84" s="8"/>
      <c r="I84" s="76">
        <f>SUM(I81:I81)</f>
        <v>0</v>
      </c>
      <c r="K84" s="41">
        <f>SUM(I81:I81)</f>
        <v>0</v>
      </c>
      <c r="Q84" s="2"/>
      <c r="R84" s="13"/>
    </row>
    <row r="85" spans="1:18" ht="15" thickTop="1" x14ac:dyDescent="0.2">
      <c r="A85" s="75"/>
      <c r="E85" s="35"/>
      <c r="F85" s="12"/>
      <c r="G85" s="42"/>
      <c r="H85" s="8"/>
      <c r="I85" s="55"/>
      <c r="Q85" s="2"/>
      <c r="R85" s="13"/>
    </row>
    <row r="86" spans="1:18" x14ac:dyDescent="0.2">
      <c r="A86" s="75"/>
      <c r="E86" s="35"/>
      <c r="F86" s="12"/>
      <c r="G86" s="42"/>
      <c r="H86" s="8"/>
      <c r="I86" s="55"/>
      <c r="Q86" s="2"/>
      <c r="R86" s="13"/>
    </row>
    <row r="87" spans="1:18" x14ac:dyDescent="0.2">
      <c r="A87" s="8" t="s">
        <v>52</v>
      </c>
      <c r="E87" s="35"/>
      <c r="F87" s="12"/>
      <c r="G87" s="42"/>
      <c r="H87" s="8"/>
      <c r="I87" s="55"/>
      <c r="Q87" s="2"/>
      <c r="R87" s="13"/>
    </row>
    <row r="88" spans="1:18" x14ac:dyDescent="0.2">
      <c r="A88" s="8" t="s">
        <v>17</v>
      </c>
      <c r="C88" s="8" t="s">
        <v>45</v>
      </c>
      <c r="D88" s="33" t="s">
        <v>18</v>
      </c>
      <c r="E88" s="119"/>
      <c r="F88" s="12" t="s">
        <v>30</v>
      </c>
      <c r="G88" s="44" t="s">
        <v>6</v>
      </c>
      <c r="H88" s="118"/>
      <c r="I88" s="55" t="s">
        <v>21</v>
      </c>
      <c r="Q88" s="12"/>
      <c r="R88" s="38"/>
    </row>
    <row r="89" spans="1:18" x14ac:dyDescent="0.2">
      <c r="A89" s="58"/>
      <c r="B89" s="31"/>
      <c r="C89" s="31"/>
      <c r="D89" s="36"/>
      <c r="E89" s="36"/>
      <c r="F89" s="159"/>
      <c r="G89" s="178">
        <f>IFERROR(VLOOKUP(A89, FORMULAS!K55:L98, 2, FALSE), 0)</f>
        <v>0</v>
      </c>
      <c r="H89" s="8"/>
      <c r="I89" s="79">
        <f t="shared" ref="I89" si="1">SUM(F89*G89)</f>
        <v>0</v>
      </c>
      <c r="Q89" s="23"/>
      <c r="R89" s="23"/>
    </row>
    <row r="90" spans="1:18" ht="12.95" customHeight="1" x14ac:dyDescent="0.2">
      <c r="A90" s="58"/>
      <c r="B90" s="31"/>
      <c r="D90" s="36"/>
      <c r="E90" s="36"/>
      <c r="F90" s="63"/>
      <c r="G90" s="42"/>
      <c r="H90" s="8"/>
      <c r="I90" s="79"/>
      <c r="Q90" s="2"/>
      <c r="R90" s="13"/>
    </row>
    <row r="91" spans="1:18" ht="15" thickBot="1" x14ac:dyDescent="0.25">
      <c r="A91" s="75" t="s">
        <v>53</v>
      </c>
      <c r="E91" s="35"/>
      <c r="F91" s="12">
        <f>SUM(F88:F89)</f>
        <v>0</v>
      </c>
      <c r="G91" s="12"/>
      <c r="H91" s="8"/>
      <c r="I91" s="76">
        <f>SUM(I88:I90)</f>
        <v>0</v>
      </c>
      <c r="K91" s="41">
        <f>SUM(I88:I90)</f>
        <v>0</v>
      </c>
      <c r="Q91" s="2"/>
      <c r="R91" s="13"/>
    </row>
    <row r="92" spans="1:18" ht="15" thickTop="1" x14ac:dyDescent="0.2">
      <c r="A92" s="75"/>
      <c r="E92" s="35"/>
      <c r="F92" s="12"/>
      <c r="G92" s="12"/>
      <c r="H92" s="8"/>
      <c r="I92" s="55"/>
      <c r="Q92" s="2"/>
      <c r="R92" s="13"/>
    </row>
    <row r="93" spans="1:18" x14ac:dyDescent="0.2">
      <c r="A93" s="75"/>
      <c r="E93" s="35"/>
      <c r="F93" s="12"/>
      <c r="G93" s="12"/>
      <c r="H93" s="8"/>
      <c r="I93" s="55"/>
      <c r="Q93" s="2"/>
      <c r="R93" s="13"/>
    </row>
    <row r="94" spans="1:18" ht="12.95" customHeight="1" x14ac:dyDescent="0.2">
      <c r="A94" s="8" t="s">
        <v>54</v>
      </c>
      <c r="D94" s="119"/>
      <c r="E94" s="119"/>
      <c r="F94" s="74"/>
      <c r="G94" s="118"/>
    </row>
    <row r="95" spans="1:18" ht="12" customHeight="1" x14ac:dyDescent="0.2">
      <c r="A95" s="8" t="s">
        <v>17</v>
      </c>
      <c r="B95" s="8"/>
      <c r="C95" s="8"/>
      <c r="D95" s="33" t="s">
        <v>18</v>
      </c>
      <c r="E95" s="33"/>
      <c r="F95" s="74" t="s">
        <v>19</v>
      </c>
      <c r="G95" s="12" t="s">
        <v>6</v>
      </c>
      <c r="H95" s="8"/>
      <c r="I95" s="16" t="s">
        <v>46</v>
      </c>
      <c r="K95" s="123"/>
      <c r="L95" s="123"/>
      <c r="M95" s="123"/>
      <c r="N95" s="123"/>
      <c r="O95" s="123"/>
    </row>
    <row r="96" spans="1:18" s="123" customFormat="1" ht="12.95" customHeight="1" x14ac:dyDescent="0.2">
      <c r="A96" s="95"/>
      <c r="B96" s="96"/>
      <c r="C96" s="96"/>
      <c r="D96" s="97"/>
      <c r="E96" s="97"/>
      <c r="F96" s="88"/>
      <c r="G96" s="42"/>
      <c r="H96" s="96"/>
      <c r="I96" s="98"/>
      <c r="K96" s="23"/>
      <c r="L96" s="23"/>
      <c r="M96" s="23"/>
      <c r="N96" s="23"/>
      <c r="O96" s="23"/>
      <c r="Q96" s="117"/>
      <c r="R96" s="87"/>
    </row>
    <row r="97" spans="1:17" ht="12.95" customHeight="1" x14ac:dyDescent="0.2">
      <c r="A97" s="8"/>
      <c r="B97" s="8"/>
      <c r="C97" s="8"/>
      <c r="D97" s="33"/>
      <c r="E97" s="33"/>
      <c r="F97" s="74"/>
      <c r="G97" s="12"/>
      <c r="H97" s="8"/>
      <c r="I97" s="94"/>
    </row>
    <row r="98" spans="1:17" ht="14.1" customHeight="1" thickBot="1" x14ac:dyDescent="0.25">
      <c r="A98" s="75" t="s">
        <v>39</v>
      </c>
      <c r="B98" s="8"/>
      <c r="C98" s="8"/>
      <c r="D98" s="33"/>
      <c r="E98" s="33"/>
      <c r="F98" s="74">
        <f>SUM(F96:F97)</f>
        <v>0</v>
      </c>
      <c r="G98" s="44">
        <f>+$R$3</f>
        <v>1.7</v>
      </c>
      <c r="H98" s="118"/>
      <c r="I98" s="90">
        <f>+F98*G98</f>
        <v>0</v>
      </c>
      <c r="K98" s="41">
        <f>SUM(I95:I97)</f>
        <v>0</v>
      </c>
      <c r="L98" s="92">
        <f>SUM(K61:K98)</f>
        <v>0</v>
      </c>
    </row>
    <row r="99" spans="1:17" ht="12.95" customHeight="1" thickTop="1" x14ac:dyDescent="0.2">
      <c r="A99" s="75"/>
      <c r="B99" s="8"/>
      <c r="C99" s="8"/>
      <c r="D99" s="33"/>
      <c r="E99" s="33"/>
      <c r="F99" s="74"/>
      <c r="G99" s="12"/>
      <c r="H99" s="118"/>
      <c r="I99" s="44"/>
      <c r="L99" s="93"/>
    </row>
    <row r="100" spans="1:17" ht="12.95" customHeight="1" x14ac:dyDescent="0.2">
      <c r="D100" s="119"/>
      <c r="E100" s="33"/>
      <c r="F100" s="74"/>
      <c r="G100" s="12"/>
      <c r="I100" s="44"/>
      <c r="L100" s="93"/>
    </row>
    <row r="101" spans="1:17" ht="15" thickBot="1" x14ac:dyDescent="0.25">
      <c r="D101" s="119"/>
      <c r="E101" s="33"/>
      <c r="F101" s="74"/>
      <c r="G101" s="35" t="s">
        <v>23</v>
      </c>
      <c r="I101" s="91">
        <f>SUM(I63,I70,I77,I84,I91,I98)</f>
        <v>0</v>
      </c>
    </row>
    <row r="102" spans="1:17" ht="15" thickTop="1" x14ac:dyDescent="0.2">
      <c r="D102" s="119"/>
      <c r="E102" s="33"/>
      <c r="F102" s="74"/>
      <c r="G102" s="35"/>
      <c r="I102" s="55"/>
      <c r="L102" s="93"/>
    </row>
    <row r="103" spans="1:17" x14ac:dyDescent="0.2">
      <c r="D103" s="119"/>
      <c r="E103" s="33"/>
      <c r="F103" s="74"/>
      <c r="G103" s="35"/>
      <c r="I103" s="55"/>
      <c r="K103" s="31"/>
      <c r="L103" s="31"/>
      <c r="M103" s="31"/>
      <c r="N103" s="31"/>
      <c r="O103" s="31"/>
    </row>
    <row r="104" spans="1:17" ht="12.95" customHeight="1" x14ac:dyDescent="0.2">
      <c r="A104" s="8" t="s">
        <v>55</v>
      </c>
      <c r="D104" s="119"/>
      <c r="E104" s="119"/>
      <c r="F104" s="74"/>
      <c r="G104" s="118"/>
    </row>
    <row r="105" spans="1:17" ht="12" customHeight="1" x14ac:dyDescent="0.2">
      <c r="A105" s="8" t="s">
        <v>17</v>
      </c>
      <c r="B105" s="8"/>
      <c r="C105" s="8"/>
      <c r="D105" s="33" t="s">
        <v>18</v>
      </c>
      <c r="E105" s="33"/>
      <c r="F105" s="74" t="s">
        <v>19</v>
      </c>
      <c r="G105" s="12" t="s">
        <v>6</v>
      </c>
      <c r="H105" s="8"/>
      <c r="I105" s="12" t="s">
        <v>46</v>
      </c>
    </row>
    <row r="106" spans="1:17" ht="12" customHeight="1" x14ac:dyDescent="0.2">
      <c r="A106" s="8"/>
      <c r="B106" s="8"/>
      <c r="C106" s="8"/>
      <c r="D106" s="33"/>
      <c r="E106" s="33"/>
      <c r="F106" s="74"/>
      <c r="G106" s="12"/>
      <c r="H106" s="8"/>
      <c r="I106" s="12"/>
    </row>
    <row r="107" spans="1:17" ht="12" customHeight="1" x14ac:dyDescent="0.2">
      <c r="A107" s="31"/>
      <c r="B107" s="8"/>
      <c r="C107" s="31"/>
      <c r="D107" s="36"/>
      <c r="E107" s="36"/>
      <c r="F107" s="64"/>
      <c r="G107" s="42"/>
      <c r="H107" s="31"/>
      <c r="I107" s="43"/>
      <c r="J107" s="31"/>
      <c r="K107" s="62"/>
      <c r="P107" s="31"/>
      <c r="Q107" s="89"/>
    </row>
    <row r="108" spans="1:17" ht="12" customHeight="1" x14ac:dyDescent="0.2">
      <c r="A108" s="8"/>
      <c r="B108" s="8"/>
      <c r="C108" s="8"/>
      <c r="D108" s="33"/>
      <c r="E108" s="33"/>
      <c r="F108" s="74"/>
      <c r="G108" s="12"/>
      <c r="H108" s="8"/>
      <c r="I108" s="94"/>
      <c r="K108" s="62"/>
    </row>
    <row r="109" spans="1:17" ht="14.1" customHeight="1" thickBot="1" x14ac:dyDescent="0.25">
      <c r="A109" s="75" t="s">
        <v>40</v>
      </c>
      <c r="B109" s="8"/>
      <c r="C109" s="8"/>
      <c r="D109" s="33"/>
      <c r="E109" s="33"/>
      <c r="F109" s="74">
        <f>SUM(F105:F108)</f>
        <v>0</v>
      </c>
      <c r="G109" s="44">
        <f>+$R$3</f>
        <v>1.7</v>
      </c>
      <c r="H109" s="118"/>
      <c r="I109" s="90">
        <f>+F109*G109</f>
        <v>0</v>
      </c>
      <c r="K109" s="41">
        <f>SUM(I105:I108)</f>
        <v>0</v>
      </c>
    </row>
    <row r="110" spans="1:17" ht="14.1" customHeight="1" thickTop="1" x14ac:dyDescent="0.2">
      <c r="A110" s="75"/>
      <c r="B110" s="8"/>
      <c r="C110" s="8"/>
      <c r="D110" s="33"/>
      <c r="E110" s="33"/>
      <c r="F110" s="74"/>
      <c r="G110" s="44"/>
      <c r="H110" s="118"/>
      <c r="I110" s="90"/>
      <c r="K110" s="62"/>
    </row>
    <row r="111" spans="1:17" ht="14.1" customHeight="1" x14ac:dyDescent="0.2">
      <c r="A111" s="75"/>
      <c r="B111" s="8"/>
      <c r="C111" s="8"/>
      <c r="D111" s="33"/>
      <c r="E111" s="33"/>
      <c r="F111" s="74"/>
      <c r="G111" s="44"/>
      <c r="H111" s="118"/>
      <c r="I111" s="44"/>
    </row>
    <row r="112" spans="1:17" ht="12" customHeight="1" x14ac:dyDescent="0.2">
      <c r="A112" s="8" t="s">
        <v>105</v>
      </c>
      <c r="D112" s="119"/>
      <c r="E112" s="119"/>
      <c r="F112" s="74"/>
      <c r="G112" s="118"/>
    </row>
    <row r="113" spans="1:21" ht="12" customHeight="1" x14ac:dyDescent="0.2">
      <c r="A113" s="8" t="s">
        <v>17</v>
      </c>
      <c r="B113" s="8"/>
      <c r="C113" s="8" t="s">
        <v>45</v>
      </c>
      <c r="D113" s="33" t="s">
        <v>18</v>
      </c>
      <c r="E113" s="33"/>
      <c r="F113" s="74" t="s">
        <v>19</v>
      </c>
      <c r="G113" s="12" t="s">
        <v>6</v>
      </c>
      <c r="H113" s="8"/>
      <c r="I113" s="12" t="s">
        <v>46</v>
      </c>
    </row>
    <row r="114" spans="1:21" ht="12.95" customHeight="1" x14ac:dyDescent="0.2">
      <c r="A114" s="56"/>
      <c r="B114" s="31"/>
      <c r="C114" s="31"/>
      <c r="D114" s="36"/>
      <c r="E114" s="33"/>
      <c r="F114" s="60"/>
      <c r="G114" s="37"/>
      <c r="H114" s="8"/>
      <c r="I114" s="79"/>
      <c r="J114" s="80"/>
      <c r="P114" s="80"/>
      <c r="Q114" s="99"/>
      <c r="R114" s="100"/>
      <c r="S114" s="80"/>
      <c r="T114" s="80"/>
      <c r="U114" s="80"/>
    </row>
    <row r="115" spans="1:21" ht="12.95" customHeight="1" x14ac:dyDescent="0.2">
      <c r="A115" s="80"/>
      <c r="B115" s="80"/>
      <c r="C115" s="82"/>
      <c r="D115" s="36"/>
      <c r="E115" s="33"/>
      <c r="F115" s="84"/>
      <c r="G115" s="101"/>
      <c r="H115" s="102"/>
      <c r="I115" s="85"/>
      <c r="J115" s="80"/>
      <c r="P115" s="80"/>
      <c r="Q115" s="99"/>
      <c r="R115" s="100"/>
      <c r="S115" s="80"/>
      <c r="T115" s="80"/>
      <c r="U115" s="80"/>
    </row>
    <row r="116" spans="1:21" ht="14.1" customHeight="1" thickBot="1" x14ac:dyDescent="0.25">
      <c r="A116" s="75" t="s">
        <v>106</v>
      </c>
      <c r="B116" s="8"/>
      <c r="C116" s="8"/>
      <c r="D116" s="33"/>
      <c r="E116" s="33"/>
      <c r="F116" s="74">
        <f>SUM($F$114:$F$115)</f>
        <v>0</v>
      </c>
      <c r="G116" s="44">
        <f>$R$3</f>
        <v>1.7</v>
      </c>
      <c r="H116" s="118"/>
      <c r="I116" s="90">
        <f>+F116*G116</f>
        <v>0</v>
      </c>
      <c r="K116" s="41">
        <f>SUM($I$114:$I$115)</f>
        <v>0</v>
      </c>
    </row>
    <row r="117" spans="1:21" ht="14.1" customHeight="1" thickTop="1" x14ac:dyDescent="0.2">
      <c r="A117" s="75"/>
      <c r="B117" s="8"/>
      <c r="C117" s="8"/>
      <c r="D117" s="33"/>
      <c r="E117" s="33"/>
      <c r="F117" s="74"/>
      <c r="G117" s="44"/>
      <c r="H117" s="139"/>
      <c r="I117" s="90"/>
    </row>
    <row r="118" spans="1:21" ht="14.1" customHeight="1" x14ac:dyDescent="0.2">
      <c r="A118" s="75"/>
      <c r="B118" s="8"/>
      <c r="C118" s="8"/>
      <c r="D118" s="33"/>
      <c r="E118" s="33"/>
      <c r="F118" s="74"/>
      <c r="G118" s="44"/>
      <c r="H118" s="157"/>
      <c r="I118" s="90"/>
    </row>
    <row r="119" spans="1:21" ht="12" customHeight="1" x14ac:dyDescent="0.2">
      <c r="A119" s="8" t="s">
        <v>118</v>
      </c>
      <c r="D119" s="119"/>
      <c r="E119" s="119"/>
      <c r="F119" s="74"/>
      <c r="G119" s="139"/>
      <c r="I119" s="139"/>
    </row>
    <row r="120" spans="1:21" ht="12" customHeight="1" x14ac:dyDescent="0.2">
      <c r="A120" s="8" t="s">
        <v>17</v>
      </c>
      <c r="B120" s="8"/>
      <c r="C120" s="8" t="s">
        <v>45</v>
      </c>
      <c r="D120" s="33" t="s">
        <v>18</v>
      </c>
      <c r="E120" s="33"/>
      <c r="F120" s="74" t="s">
        <v>19</v>
      </c>
      <c r="G120" s="12" t="s">
        <v>6</v>
      </c>
      <c r="H120" s="8"/>
      <c r="I120" s="12" t="s">
        <v>46</v>
      </c>
    </row>
    <row r="121" spans="1:21" ht="12.95" customHeight="1" x14ac:dyDescent="0.2">
      <c r="A121" s="56"/>
      <c r="B121" s="31"/>
      <c r="C121" s="31"/>
      <c r="D121" s="36"/>
      <c r="E121" s="33"/>
      <c r="F121" s="138"/>
      <c r="G121" s="37"/>
      <c r="H121" s="8"/>
      <c r="I121" s="79"/>
      <c r="J121" s="80"/>
      <c r="K121" s="62"/>
      <c r="P121" s="80"/>
      <c r="Q121" s="99"/>
      <c r="R121" s="100"/>
      <c r="S121" s="80"/>
      <c r="T121" s="80"/>
      <c r="U121" s="80"/>
    </row>
    <row r="122" spans="1:21" ht="12.95" customHeight="1" x14ac:dyDescent="0.2">
      <c r="A122" s="80"/>
      <c r="B122" s="80"/>
      <c r="C122" s="82"/>
      <c r="D122" s="83"/>
      <c r="E122" s="83"/>
      <c r="F122" s="84"/>
      <c r="G122" s="101"/>
      <c r="H122" s="102"/>
      <c r="I122" s="85"/>
      <c r="J122" s="80"/>
      <c r="K122" s="62"/>
      <c r="P122" s="80"/>
      <c r="Q122" s="99"/>
      <c r="R122" s="100"/>
      <c r="S122" s="80"/>
      <c r="T122" s="80"/>
      <c r="U122" s="80"/>
    </row>
    <row r="123" spans="1:21" ht="14.1" customHeight="1" thickBot="1" x14ac:dyDescent="0.25">
      <c r="A123" s="75" t="s">
        <v>119</v>
      </c>
      <c r="B123" s="8"/>
      <c r="C123" s="8"/>
      <c r="D123" s="33"/>
      <c r="E123" s="33"/>
      <c r="F123" s="74">
        <f>SUM($F$121:$F$122)</f>
        <v>0</v>
      </c>
      <c r="G123" s="44">
        <f>$S$3</f>
        <v>1.3</v>
      </c>
      <c r="H123" s="139"/>
      <c r="I123" s="90">
        <f>+F123*G123</f>
        <v>0</v>
      </c>
      <c r="K123" s="41">
        <f>SUM($I$121:$I$122)</f>
        <v>0</v>
      </c>
    </row>
    <row r="124" spans="1:21" ht="12.75" customHeight="1" thickTop="1" x14ac:dyDescent="0.2">
      <c r="A124" s="75"/>
      <c r="B124" s="8"/>
      <c r="C124" s="8"/>
      <c r="D124" s="33"/>
      <c r="E124" s="33"/>
      <c r="F124" s="74"/>
      <c r="G124" s="44"/>
      <c r="H124" s="118"/>
      <c r="I124" s="44"/>
    </row>
    <row r="125" spans="1:21" ht="12" customHeight="1" x14ac:dyDescent="0.2">
      <c r="A125" s="8" t="s">
        <v>121</v>
      </c>
      <c r="D125" s="119"/>
      <c r="E125" s="119"/>
      <c r="F125" s="74"/>
      <c r="G125" s="157"/>
      <c r="I125" s="157"/>
    </row>
    <row r="126" spans="1:21" ht="12" customHeight="1" x14ac:dyDescent="0.2">
      <c r="A126" s="8" t="s">
        <v>17</v>
      </c>
      <c r="B126" s="8"/>
      <c r="C126" s="8" t="s">
        <v>45</v>
      </c>
      <c r="D126" s="33" t="s">
        <v>18</v>
      </c>
      <c r="E126" s="33"/>
      <c r="F126" s="74" t="s">
        <v>19</v>
      </c>
      <c r="G126" s="12" t="s">
        <v>6</v>
      </c>
      <c r="H126" s="8"/>
      <c r="I126" s="12" t="s">
        <v>46</v>
      </c>
    </row>
    <row r="127" spans="1:21" x14ac:dyDescent="0.2">
      <c r="A127" s="161"/>
      <c r="D127" s="36"/>
      <c r="E127" s="36"/>
      <c r="F127" s="120"/>
      <c r="G127" s="42">
        <f t="shared" ref="G127" si="2">IF(A127="92506",$U$1,0)+IF(A127="92507",$U$2,0)+IF(A127="97033",$U$3,0)+IF(A127="92526",$U$4,0)+IF(A127="97001",$U$5,0)+IF(A127="97002",$U$6,0)+IF(A127="97003",$U$7,0)+IF(A127="97004",$U$8,0)+IF(A127="97032",$U$9,0)+IF(A127="97035",$U$10,0)+IF(A127="97110",$W$1,0)+IF(A127="97112",$W$2,0)+IF(A127="97116",$W$3,0)+IF(A127="97124",$W$4,0)+IF(A127="97140",$W$5,0)+IF(A127="97150",$W$6,0)+IF(A127="97760",$W$7,0)+IF(A127="97530",$W$8,0)+IF(A127="97532",$W$9,0)+IF(A127="97533",$W$10,0)+IF(A127="97535",$Y$1,0)+IF(A127="97542",$Y$2,0)+IF(A127="92610",$Y$3,0)+IF(A127="96105",$Y$4,0)+IF(A127="92607",$Y$5,0)+IF(A127="97024",$Y$6,0)+IF(A127="GO283",$Y$7,0)+IF(A127="97761",$Y$8,0)+IF(A127="97762",$Y$9,0)+IF(A127="96125",$Y$10,0)+IF(A127="96111",$AA$1,0)+IF(A127="97012",$AA$2,0)+IF(A127="92521",$AA$3,0)+IF(A127="92522",$AA$4,0)+IF(A127="92523",$AA$5,0)+IF(A127="92524",$AA$6,0)</f>
        <v>0</v>
      </c>
      <c r="H127" s="42"/>
      <c r="I127" s="42">
        <f t="shared" ref="I127" si="3">SUM(F127*G127)</f>
        <v>0</v>
      </c>
      <c r="Q127" s="23"/>
      <c r="R127" s="23"/>
    </row>
    <row r="128" spans="1:21" ht="12.95" customHeight="1" x14ac:dyDescent="0.2">
      <c r="A128" s="80"/>
      <c r="B128" s="80"/>
      <c r="C128" s="82"/>
      <c r="D128" s="36"/>
      <c r="E128" s="33"/>
      <c r="F128" s="84"/>
      <c r="G128" s="101"/>
      <c r="H128" s="102"/>
      <c r="I128" s="85"/>
      <c r="J128" s="80"/>
      <c r="P128" s="80"/>
      <c r="Q128" s="99"/>
      <c r="R128" s="100"/>
      <c r="S128" s="80"/>
      <c r="T128" s="80"/>
      <c r="U128" s="80"/>
    </row>
    <row r="129" spans="1:25" ht="14.1" customHeight="1" thickBot="1" x14ac:dyDescent="0.25">
      <c r="A129" s="75" t="s">
        <v>120</v>
      </c>
      <c r="B129" s="8"/>
      <c r="C129" s="8"/>
      <c r="D129" s="33"/>
      <c r="E129" s="33"/>
      <c r="F129" s="74">
        <f>SUM($F$114:$F$115)</f>
        <v>0</v>
      </c>
      <c r="G129" s="44">
        <f>$R$3</f>
        <v>1.7</v>
      </c>
      <c r="H129" s="157"/>
      <c r="I129" s="90">
        <f>+F129*G129</f>
        <v>0</v>
      </c>
      <c r="K129" s="41">
        <f>SUM($I$114:$I$115)</f>
        <v>0</v>
      </c>
    </row>
    <row r="130" spans="1:25" ht="14.1" customHeight="1" thickTop="1" x14ac:dyDescent="0.2">
      <c r="A130" s="75"/>
      <c r="B130" s="8"/>
      <c r="C130" s="8"/>
      <c r="D130" s="33"/>
      <c r="E130" s="33"/>
      <c r="F130" s="74"/>
      <c r="G130" s="44"/>
      <c r="H130" s="157"/>
      <c r="I130" s="90"/>
      <c r="K130" s="62"/>
    </row>
    <row r="131" spans="1:25" x14ac:dyDescent="0.2">
      <c r="A131" s="8" t="s">
        <v>56</v>
      </c>
      <c r="E131" s="35"/>
      <c r="F131" s="12"/>
      <c r="G131" s="42"/>
      <c r="H131" s="8"/>
      <c r="I131" s="55"/>
      <c r="Q131" s="2"/>
      <c r="R131" s="13"/>
    </row>
    <row r="132" spans="1:25" x14ac:dyDescent="0.2">
      <c r="A132" s="8" t="s">
        <v>17</v>
      </c>
      <c r="C132" s="8" t="s">
        <v>45</v>
      </c>
      <c r="D132" s="33" t="s">
        <v>18</v>
      </c>
      <c r="E132" s="119"/>
      <c r="F132" s="12" t="s">
        <v>30</v>
      </c>
      <c r="G132" s="44" t="s">
        <v>6</v>
      </c>
      <c r="H132" s="157"/>
      <c r="I132" s="55" t="s">
        <v>21</v>
      </c>
      <c r="Q132" s="12"/>
      <c r="R132" s="38"/>
    </row>
    <row r="133" spans="1:25" x14ac:dyDescent="0.2">
      <c r="A133" s="58"/>
      <c r="D133" s="36"/>
      <c r="E133" s="36"/>
      <c r="F133" s="120"/>
      <c r="G133" s="178">
        <f>IFERROR(VLOOKUP(A133, FORMULAS!K99:L142, 2, FALSE), 0)</f>
        <v>0</v>
      </c>
      <c r="H133" s="42">
        <f>IF(B133="92506",$U$1,0)+IF(B133="92507",$U$2,0)+IF(B133="92508",$U$3,0)+IF(B133="92526",$U$4,0)+IF(B133="97001",$U$5,0)+IF(B133="97002",$U$6,0)+IF(B133="97003",$U$7,0)+IF(B133="97004",$U$8,0)+IF(B133="97032",$U$9,0)+IF(B133="97035",$U$10,0)+IF(B133="97110",$W$1,0)+IF(B133="97112",$W$2,0)+IF(B133="97116",$W$3,0)+IF(B133="97124",$W$4,0)+IF(B133="97140",$W$5,0)+IF(B133="97150",$W$6,0)+IF(B133="97504",$W$7,0)+IF(B133="97530",$W$8,0)+IF(B133="97532",$W$9,0)+IF(B133="97533",$W$10,0)+IF(B133="97535",$Y$1,0)+IF(B133="97542",$Y$2,0)+IF(B133="92610",$Y$3,0)+IF(B133="97703",$Y$4,0)+IF(B133="92607",$Y$5,0)+IF(B133="GO281",$Y$6,0)+IF(B133="GO283",$Y$7,0)</f>
        <v>0</v>
      </c>
      <c r="I133" s="79">
        <f>SUM(G133*F133)</f>
        <v>0</v>
      </c>
      <c r="K133" s="31"/>
      <c r="L133" s="31"/>
      <c r="M133" s="31"/>
      <c r="N133" s="31"/>
      <c r="O133" s="31"/>
      <c r="Q133" s="23"/>
      <c r="R133" s="23"/>
    </row>
    <row r="134" spans="1:25" s="31" customFormat="1" ht="12.75" customHeight="1" x14ac:dyDescent="0.2">
      <c r="A134" s="58"/>
      <c r="D134" s="36"/>
      <c r="E134" s="36"/>
      <c r="F134" s="64"/>
      <c r="G134" s="42"/>
      <c r="I134" s="79"/>
      <c r="K134" s="62"/>
      <c r="L134" s="23"/>
      <c r="M134" s="23"/>
      <c r="N134" s="23"/>
      <c r="O134" s="23"/>
      <c r="Q134" s="89"/>
      <c r="S134" s="23"/>
      <c r="T134" s="23"/>
      <c r="U134" s="23"/>
      <c r="V134" s="23"/>
      <c r="W134" s="23"/>
      <c r="X134" s="23"/>
      <c r="Y134" s="23"/>
    </row>
    <row r="135" spans="1:25" ht="14.1" customHeight="1" thickBot="1" x14ac:dyDescent="0.25">
      <c r="A135" s="75" t="s">
        <v>57</v>
      </c>
      <c r="B135" s="8"/>
      <c r="C135" s="8"/>
      <c r="D135" s="33"/>
      <c r="E135" s="33"/>
      <c r="F135" s="74">
        <f>SUM(F127:F134)</f>
        <v>0</v>
      </c>
      <c r="G135" s="44"/>
      <c r="H135" s="118"/>
      <c r="I135" s="76">
        <f>SUM(I127:I134)</f>
        <v>0</v>
      </c>
      <c r="K135" s="41">
        <f>SUM(I127:I134)</f>
        <v>0</v>
      </c>
    </row>
    <row r="136" spans="1:25" ht="14.1" customHeight="1" thickTop="1" x14ac:dyDescent="0.2">
      <c r="A136" s="75"/>
      <c r="B136" s="8"/>
      <c r="C136" s="8"/>
      <c r="D136" s="33"/>
      <c r="E136" s="33"/>
      <c r="F136" s="74"/>
      <c r="G136" s="44"/>
      <c r="H136" s="118"/>
      <c r="I136" s="55"/>
    </row>
    <row r="137" spans="1:25" ht="14.1" customHeight="1" x14ac:dyDescent="0.2">
      <c r="A137" s="75"/>
      <c r="B137" s="8"/>
      <c r="C137" s="8"/>
      <c r="D137" s="33"/>
      <c r="E137" s="33"/>
      <c r="F137" s="74"/>
      <c r="G137" s="44"/>
      <c r="H137" s="118"/>
      <c r="I137" s="55"/>
    </row>
    <row r="138" spans="1:25" ht="12" customHeight="1" x14ac:dyDescent="0.2">
      <c r="A138" s="8" t="s">
        <v>58</v>
      </c>
      <c r="D138" s="119"/>
      <c r="E138" s="119"/>
      <c r="F138" s="74"/>
      <c r="G138" s="118"/>
    </row>
    <row r="139" spans="1:25" ht="12" customHeight="1" x14ac:dyDescent="0.2">
      <c r="A139" s="8" t="s">
        <v>17</v>
      </c>
      <c r="B139" s="8"/>
      <c r="C139" s="8"/>
      <c r="D139" s="33" t="s">
        <v>18</v>
      </c>
      <c r="E139" s="33"/>
      <c r="F139" s="74" t="s">
        <v>19</v>
      </c>
      <c r="G139" s="12" t="s">
        <v>6</v>
      </c>
      <c r="H139" s="8"/>
      <c r="I139" s="16" t="s">
        <v>46</v>
      </c>
    </row>
    <row r="140" spans="1:25" ht="12" customHeight="1" x14ac:dyDescent="0.2">
      <c r="A140" s="56"/>
      <c r="B140" s="31"/>
      <c r="C140" s="31"/>
      <c r="D140" s="36"/>
      <c r="E140" s="36"/>
      <c r="F140" s="60"/>
      <c r="G140" s="37"/>
      <c r="H140" s="8"/>
      <c r="I140" s="79"/>
    </row>
    <row r="141" spans="1:25" ht="12" customHeight="1" x14ac:dyDescent="0.2">
      <c r="A141" s="58"/>
      <c r="B141" s="8"/>
      <c r="C141" s="8"/>
      <c r="D141" s="33"/>
      <c r="E141" s="33"/>
      <c r="F141" s="74"/>
      <c r="G141" s="12"/>
      <c r="H141" s="8"/>
      <c r="I141" s="94"/>
    </row>
    <row r="142" spans="1:25" ht="12.95" customHeight="1" thickBot="1" x14ac:dyDescent="0.25">
      <c r="A142" s="75" t="s">
        <v>42</v>
      </c>
      <c r="B142" s="8"/>
      <c r="C142" s="8"/>
      <c r="D142" s="33"/>
      <c r="E142" s="33"/>
      <c r="F142" s="74">
        <f>SUM(F140:F141)</f>
        <v>0</v>
      </c>
      <c r="G142" s="44">
        <f>$R$3</f>
        <v>1.7</v>
      </c>
      <c r="H142" s="118"/>
      <c r="I142" s="90">
        <f>+F142*G142</f>
        <v>0</v>
      </c>
      <c r="K142" s="41">
        <f>SUM(I139:I141)</f>
        <v>0</v>
      </c>
      <c r="L142" s="92">
        <f>SUM(K104:K142)</f>
        <v>0</v>
      </c>
    </row>
    <row r="143" spans="1:25" ht="12" customHeight="1" thickTop="1" x14ac:dyDescent="0.2">
      <c r="A143" s="75"/>
      <c r="B143" s="8"/>
      <c r="C143" s="8"/>
      <c r="D143" s="33"/>
      <c r="E143" s="33"/>
      <c r="F143" s="74"/>
      <c r="G143" s="12"/>
      <c r="H143" s="118"/>
      <c r="I143" s="90"/>
    </row>
    <row r="144" spans="1:25" ht="12" customHeight="1" x14ac:dyDescent="0.2">
      <c r="A144" s="31"/>
      <c r="B144" s="31"/>
      <c r="C144" s="31"/>
      <c r="D144" s="36"/>
      <c r="E144" s="33"/>
      <c r="F144" s="74"/>
      <c r="G144" s="12"/>
      <c r="H144" s="31"/>
      <c r="I144" s="44"/>
    </row>
    <row r="145" spans="1:18" ht="14.1" customHeight="1" thickBot="1" x14ac:dyDescent="0.25">
      <c r="A145" s="8"/>
      <c r="D145" s="119"/>
      <c r="E145" s="119"/>
      <c r="F145" s="120"/>
      <c r="G145" s="35" t="s">
        <v>14</v>
      </c>
      <c r="I145" s="91">
        <f>SUM(I109,I116,I123,I135,I129,I142)</f>
        <v>0</v>
      </c>
      <c r="K145" s="87"/>
      <c r="L145" s="87"/>
      <c r="M145" s="87"/>
      <c r="N145" s="87"/>
      <c r="O145" s="87"/>
    </row>
    <row r="146" spans="1:18" ht="12" customHeight="1" thickTop="1" x14ac:dyDescent="0.2">
      <c r="A146" s="8"/>
      <c r="E146" s="125"/>
      <c r="F146" s="126"/>
      <c r="I146" s="55"/>
      <c r="K146" s="87"/>
      <c r="L146" s="87"/>
      <c r="M146" s="87"/>
      <c r="N146" s="87"/>
      <c r="O146" s="87"/>
    </row>
    <row r="147" spans="1:18" ht="12.95" customHeight="1" x14ac:dyDescent="0.2">
      <c r="A147" s="8" t="s">
        <v>59</v>
      </c>
      <c r="E147" s="125"/>
      <c r="F147" s="74" t="s">
        <v>19</v>
      </c>
      <c r="G147" s="12" t="s">
        <v>6</v>
      </c>
      <c r="H147" s="8"/>
      <c r="I147" s="16" t="s">
        <v>46</v>
      </c>
    </row>
    <row r="148" spans="1:18" s="87" customFormat="1" ht="12.95" customHeight="1" x14ac:dyDescent="0.2">
      <c r="D148" s="180"/>
      <c r="E148" s="181"/>
      <c r="F148" s="88"/>
      <c r="G148" s="37">
        <v>0.67</v>
      </c>
      <c r="I148" s="98">
        <f>+F148*G148</f>
        <v>0</v>
      </c>
      <c r="M148" s="23"/>
      <c r="N148" s="23"/>
      <c r="O148" s="23"/>
      <c r="Q148" s="117"/>
      <c r="R148" s="31"/>
    </row>
    <row r="149" spans="1:18" s="87" customFormat="1" ht="12.95" customHeight="1" x14ac:dyDescent="0.2">
      <c r="D149" s="31"/>
      <c r="F149" s="88"/>
      <c r="G149" s="37"/>
      <c r="I149" s="98"/>
      <c r="K149" s="23"/>
      <c r="L149" s="23"/>
      <c r="M149" s="23"/>
      <c r="N149" s="23"/>
      <c r="O149" s="23"/>
      <c r="Q149" s="117"/>
      <c r="R149" s="31"/>
    </row>
    <row r="150" spans="1:18" ht="12.95" customHeight="1" x14ac:dyDescent="0.2">
      <c r="F150" s="74"/>
      <c r="I150" s="122"/>
    </row>
    <row r="151" spans="1:18" ht="12.95" customHeight="1" thickBot="1" x14ac:dyDescent="0.25">
      <c r="A151" s="8" t="s">
        <v>60</v>
      </c>
      <c r="F151" s="74">
        <f>SUM(F147:F150)</f>
        <v>0</v>
      </c>
      <c r="G151" s="44">
        <v>0.67</v>
      </c>
      <c r="I151" s="91">
        <f>SUM(I148:I150)</f>
        <v>0</v>
      </c>
      <c r="K151" s="41">
        <f>SUM(I147:I150)</f>
        <v>0</v>
      </c>
      <c r="L151" s="103">
        <f>SUM(I148:I150)</f>
        <v>0</v>
      </c>
    </row>
    <row r="152" spans="1:18" ht="12" customHeight="1" thickTop="1" x14ac:dyDescent="0.2">
      <c r="A152" s="8"/>
      <c r="E152" s="125"/>
      <c r="F152" s="126"/>
      <c r="I152" s="55"/>
      <c r="M152" s="104">
        <f>SUM(L14:L151)</f>
        <v>0</v>
      </c>
    </row>
    <row r="153" spans="1:18" ht="12" customHeight="1" thickBot="1" x14ac:dyDescent="0.25"/>
    <row r="154" spans="1:18" ht="14.1" customHeight="1" thickBot="1" x14ac:dyDescent="0.25">
      <c r="G154" s="35" t="s">
        <v>108</v>
      </c>
      <c r="H154" s="8"/>
      <c r="I154" s="72">
        <f>SUM(I151,I145,I101,I56)</f>
        <v>0</v>
      </c>
    </row>
    <row r="155" spans="1:18" x14ac:dyDescent="0.2">
      <c r="A155" s="23" t="str">
        <f>'MCARE A'!A29</f>
        <v>Remit to Address:</v>
      </c>
      <c r="F155" s="73"/>
      <c r="G155" s="8"/>
      <c r="H155" s="8"/>
      <c r="I155" s="55"/>
    </row>
    <row r="156" spans="1:18" ht="12" customHeight="1" x14ac:dyDescent="0.2">
      <c r="A156" s="8" t="str">
        <f>'MCARE A'!A30</f>
        <v>Columbine Therapy Services</v>
      </c>
      <c r="B156" s="8"/>
      <c r="C156" s="8"/>
      <c r="F156" s="73"/>
      <c r="G156" s="8"/>
      <c r="H156" s="8"/>
      <c r="I156" s="55"/>
    </row>
    <row r="157" spans="1:18" ht="12" customHeight="1" x14ac:dyDescent="0.2">
      <c r="A157" s="8" t="str">
        <f>'MCARE A'!A31</f>
        <v>802 West Drake Road Suite 145</v>
      </c>
      <c r="B157" s="8"/>
      <c r="C157" s="8"/>
    </row>
    <row r="158" spans="1:18" ht="12" customHeight="1" x14ac:dyDescent="0.2">
      <c r="A158" s="8" t="str">
        <f>'MCARE A'!A32</f>
        <v>Fort Collins, CO 80526</v>
      </c>
      <c r="B158" s="8"/>
      <c r="C158" s="8"/>
    </row>
    <row r="159" spans="1:18" ht="12" customHeight="1" x14ac:dyDescent="0.2">
      <c r="A159" s="8" t="str">
        <f>'MCARE A'!A33</f>
        <v>Phone # (970) 492-6238</v>
      </c>
      <c r="B159" s="8"/>
      <c r="C159" s="8"/>
    </row>
    <row r="160" spans="1:18" ht="12" customHeight="1" x14ac:dyDescent="0.2">
      <c r="A160" s="8" t="str">
        <f>'MCARE A'!A34</f>
        <v>Fax #   (970) 492-6205</v>
      </c>
      <c r="B160" s="8"/>
      <c r="C160" s="8"/>
    </row>
    <row r="161" spans="1:3" ht="12" customHeight="1" x14ac:dyDescent="0.2">
      <c r="A161" s="8" t="str">
        <f>'MCARE A'!A35</f>
        <v>Fed Tax ID #</v>
      </c>
      <c r="B161" s="8"/>
      <c r="C161" s="8" t="str">
        <f>'MCARE A'!C35</f>
        <v>84-1412876</v>
      </c>
    </row>
    <row r="162" spans="1:3" ht="12" customHeight="1" x14ac:dyDescent="0.2"/>
    <row r="163" spans="1:3" ht="12" customHeight="1" x14ac:dyDescent="0.2"/>
  </sheetData>
  <mergeCells count="2">
    <mergeCell ref="A1:I1"/>
    <mergeCell ref="D148:E148"/>
  </mergeCells>
  <pageMargins left="0.7" right="0.7" top="0.75" bottom="0.75" header="0.3" footer="0.3"/>
  <pageSetup scale="99" orientation="portrait" r:id="rId1"/>
  <headerFooter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54"/>
  <sheetViews>
    <sheetView zoomScaleNormal="100" workbookViewId="0">
      <selection activeCell="F9" sqref="F9"/>
    </sheetView>
  </sheetViews>
  <sheetFormatPr defaultRowHeight="15" x14ac:dyDescent="0.25"/>
  <cols>
    <col min="5" max="5" width="35.85546875" customWidth="1"/>
    <col min="8" max="8" width="0.140625" hidden="1" customWidth="1"/>
    <col min="9" max="9" width="0.85546875" hidden="1" customWidth="1"/>
    <col min="10" max="10" width="2.5703125" customWidth="1"/>
  </cols>
  <sheetData>
    <row r="1" spans="1:13" ht="15.75" x14ac:dyDescent="0.25">
      <c r="A1" s="182" t="s">
        <v>0</v>
      </c>
      <c r="B1" s="182"/>
      <c r="C1" s="182"/>
      <c r="D1" s="182"/>
      <c r="E1" s="182"/>
      <c r="F1" s="182"/>
      <c r="G1" s="182"/>
      <c r="H1" s="182"/>
      <c r="I1" s="1"/>
      <c r="J1" s="1"/>
      <c r="K1" s="2" t="s">
        <v>1</v>
      </c>
      <c r="L1" s="3">
        <v>1.45</v>
      </c>
      <c r="M1" s="141">
        <v>1.3</v>
      </c>
    </row>
    <row r="2" spans="1:13" ht="15.75" x14ac:dyDescent="0.25">
      <c r="A2" s="182" t="s">
        <v>2</v>
      </c>
      <c r="B2" s="182"/>
      <c r="C2" s="182"/>
      <c r="D2" s="182"/>
      <c r="E2" s="182"/>
      <c r="F2" s="182"/>
      <c r="G2" s="182"/>
      <c r="H2" s="182"/>
      <c r="I2" s="1"/>
      <c r="J2" s="1"/>
      <c r="K2" s="2" t="s">
        <v>3</v>
      </c>
      <c r="L2" s="3">
        <v>1.45</v>
      </c>
      <c r="M2" s="141">
        <v>1.3</v>
      </c>
    </row>
    <row r="3" spans="1:13" ht="15.75" x14ac:dyDescent="0.25">
      <c r="A3" s="183">
        <f>'FRONT PAGE'!$I$5</f>
        <v>0</v>
      </c>
      <c r="B3" s="183"/>
      <c r="C3" s="183"/>
      <c r="D3" s="183"/>
      <c r="E3" s="183"/>
      <c r="F3" s="183"/>
      <c r="G3" s="183"/>
      <c r="H3" s="183"/>
      <c r="I3" s="1"/>
      <c r="J3" s="1"/>
      <c r="K3" s="2" t="s">
        <v>4</v>
      </c>
      <c r="L3" s="3">
        <v>1.45</v>
      </c>
      <c r="M3" s="141">
        <v>1.3</v>
      </c>
    </row>
    <row r="4" spans="1:13" x14ac:dyDescent="0.25">
      <c r="M4" t="s">
        <v>113</v>
      </c>
    </row>
    <row r="5" spans="1:13" ht="15.75" thickBot="1" x14ac:dyDescent="0.3">
      <c r="A5" s="4" t="s">
        <v>5</v>
      </c>
      <c r="B5" s="4"/>
      <c r="C5" s="5"/>
      <c r="D5" s="5"/>
      <c r="E5" s="6"/>
      <c r="F5" s="7" t="s">
        <v>6</v>
      </c>
      <c r="G5" s="5"/>
    </row>
    <row r="6" spans="1:13" x14ac:dyDescent="0.25">
      <c r="A6" s="8" t="s">
        <v>7</v>
      </c>
      <c r="B6" s="9"/>
      <c r="C6" s="9"/>
      <c r="D6" s="9"/>
      <c r="E6" s="9"/>
      <c r="F6" s="3">
        <v>1.45</v>
      </c>
      <c r="G6" s="10" t="s">
        <v>8</v>
      </c>
    </row>
    <row r="7" spans="1:13" x14ac:dyDescent="0.25">
      <c r="A7" s="8" t="s">
        <v>9</v>
      </c>
      <c r="B7" s="9"/>
      <c r="C7" s="9"/>
      <c r="D7" s="9"/>
      <c r="E7" s="9"/>
      <c r="F7" s="3">
        <v>1.45</v>
      </c>
      <c r="G7" s="10" t="s">
        <v>8</v>
      </c>
    </row>
    <row r="8" spans="1:13" x14ac:dyDescent="0.25">
      <c r="A8" s="8" t="s">
        <v>10</v>
      </c>
      <c r="B8" s="9"/>
      <c r="C8" s="9"/>
      <c r="D8" s="9"/>
      <c r="E8" s="9"/>
      <c r="F8" s="3">
        <v>1.45</v>
      </c>
      <c r="G8" s="10" t="s">
        <v>8</v>
      </c>
    </row>
    <row r="10" spans="1:13" x14ac:dyDescent="0.25">
      <c r="A10" s="8" t="s">
        <v>11</v>
      </c>
      <c r="F10" s="11">
        <v>0</v>
      </c>
      <c r="G10" s="12">
        <v>92506</v>
      </c>
      <c r="H10" s="9"/>
      <c r="I10" s="9"/>
      <c r="J10" s="9"/>
      <c r="K10" s="2">
        <f t="shared" ref="K10:K42" si="0">+G10</f>
        <v>92506</v>
      </c>
      <c r="L10" s="13">
        <f t="shared" ref="L10:L42" si="1">+F10</f>
        <v>0</v>
      </c>
    </row>
    <row r="11" spans="1:13" x14ac:dyDescent="0.25">
      <c r="F11" s="11">
        <f>80.62*0.75</f>
        <v>60.465000000000003</v>
      </c>
      <c r="G11" s="2">
        <v>92507</v>
      </c>
      <c r="H11" s="9"/>
      <c r="I11" s="9"/>
      <c r="J11" s="9"/>
      <c r="K11" s="2">
        <f t="shared" si="0"/>
        <v>92507</v>
      </c>
      <c r="L11" s="13">
        <f t="shared" si="1"/>
        <v>60.465000000000003</v>
      </c>
    </row>
    <row r="12" spans="1:13" x14ac:dyDescent="0.25">
      <c r="F12" s="14">
        <f>22.46*0.75</f>
        <v>16.844999999999999</v>
      </c>
      <c r="G12" s="12">
        <v>97033</v>
      </c>
      <c r="H12" s="9"/>
      <c r="I12" s="9"/>
      <c r="J12" s="9"/>
      <c r="K12" s="2">
        <f t="shared" si="0"/>
        <v>97033</v>
      </c>
      <c r="L12" s="13">
        <f t="shared" si="1"/>
        <v>16.844999999999999</v>
      </c>
    </row>
    <row r="13" spans="1:13" x14ac:dyDescent="0.25">
      <c r="F13" s="11">
        <f>87.89*0.75</f>
        <v>65.917500000000004</v>
      </c>
      <c r="G13" s="12">
        <v>92526</v>
      </c>
      <c r="H13" s="9"/>
      <c r="I13" s="9"/>
      <c r="J13" s="9"/>
      <c r="K13" s="2">
        <f t="shared" si="0"/>
        <v>92526</v>
      </c>
      <c r="L13" s="13">
        <f t="shared" si="1"/>
        <v>65.917500000000004</v>
      </c>
    </row>
    <row r="14" spans="1:13" x14ac:dyDescent="0.25">
      <c r="F14" s="11">
        <v>57.12</v>
      </c>
      <c r="G14" s="12">
        <v>97001</v>
      </c>
      <c r="H14" s="9"/>
      <c r="I14" s="9"/>
      <c r="J14" s="9"/>
      <c r="K14" s="2">
        <f t="shared" si="0"/>
        <v>97001</v>
      </c>
      <c r="L14" s="13">
        <f t="shared" si="1"/>
        <v>57.12</v>
      </c>
    </row>
    <row r="15" spans="1:13" x14ac:dyDescent="0.25">
      <c r="F15" s="11">
        <v>32.08</v>
      </c>
      <c r="G15" s="2">
        <v>97002</v>
      </c>
      <c r="H15" s="9"/>
      <c r="I15" s="9"/>
      <c r="J15" s="9"/>
      <c r="K15" s="2">
        <f t="shared" si="0"/>
        <v>97002</v>
      </c>
      <c r="L15" s="13">
        <f t="shared" si="1"/>
        <v>32.08</v>
      </c>
    </row>
    <row r="16" spans="1:13" x14ac:dyDescent="0.25">
      <c r="F16" s="11">
        <v>64.16</v>
      </c>
      <c r="G16" s="12">
        <v>97003</v>
      </c>
      <c r="H16" s="9"/>
      <c r="I16" s="9"/>
      <c r="J16" s="9"/>
      <c r="K16" s="2">
        <f t="shared" si="0"/>
        <v>97003</v>
      </c>
      <c r="L16" s="13">
        <f t="shared" si="1"/>
        <v>64.16</v>
      </c>
    </row>
    <row r="17" spans="6:12" x14ac:dyDescent="0.25">
      <c r="F17" s="14">
        <v>40.200000000000003</v>
      </c>
      <c r="G17" s="12">
        <v>97004</v>
      </c>
      <c r="H17" s="9"/>
      <c r="I17" s="9"/>
      <c r="J17" s="9"/>
      <c r="K17" s="2">
        <f t="shared" si="0"/>
        <v>97004</v>
      </c>
      <c r="L17" s="13">
        <f t="shared" si="1"/>
        <v>40.200000000000003</v>
      </c>
    </row>
    <row r="18" spans="6:12" x14ac:dyDescent="0.25">
      <c r="F18" s="14">
        <f>19.55*0.75</f>
        <v>14.662500000000001</v>
      </c>
      <c r="G18" s="2">
        <v>97032</v>
      </c>
      <c r="H18" s="9"/>
      <c r="I18" s="9"/>
      <c r="J18" s="9"/>
      <c r="K18" s="2">
        <f t="shared" si="0"/>
        <v>97032</v>
      </c>
      <c r="L18" s="13">
        <f t="shared" si="1"/>
        <v>14.662500000000001</v>
      </c>
    </row>
    <row r="19" spans="6:12" x14ac:dyDescent="0.25">
      <c r="F19" s="14">
        <f>13.02*0.75</f>
        <v>9.7650000000000006</v>
      </c>
      <c r="G19" s="12">
        <v>97035</v>
      </c>
      <c r="H19" s="9"/>
      <c r="I19" s="9"/>
      <c r="J19" s="9"/>
      <c r="K19" s="2">
        <f t="shared" si="0"/>
        <v>97035</v>
      </c>
      <c r="L19" s="13">
        <f t="shared" si="1"/>
        <v>9.7650000000000006</v>
      </c>
    </row>
    <row r="20" spans="6:12" x14ac:dyDescent="0.25">
      <c r="F20" s="11">
        <f>33.31*0.75</f>
        <v>24.982500000000002</v>
      </c>
      <c r="G20" s="12">
        <v>97110</v>
      </c>
      <c r="H20" s="9"/>
      <c r="I20" s="9"/>
      <c r="J20" s="9"/>
      <c r="K20" s="2">
        <f t="shared" si="0"/>
        <v>97110</v>
      </c>
      <c r="L20" s="13">
        <f t="shared" si="1"/>
        <v>24.982500000000002</v>
      </c>
    </row>
    <row r="21" spans="6:12" x14ac:dyDescent="0.25">
      <c r="F21" s="11">
        <f>34.76*0.75</f>
        <v>26.07</v>
      </c>
      <c r="G21" s="12">
        <v>97112</v>
      </c>
      <c r="H21" s="9"/>
      <c r="I21" s="9"/>
      <c r="J21" s="9"/>
      <c r="K21" s="2">
        <f t="shared" si="0"/>
        <v>97112</v>
      </c>
      <c r="L21" s="13">
        <f t="shared" si="1"/>
        <v>26.07</v>
      </c>
    </row>
    <row r="22" spans="6:12" x14ac:dyDescent="0.25">
      <c r="F22" s="11">
        <f>28.94*0.75</f>
        <v>21.705000000000002</v>
      </c>
      <c r="G22" s="12">
        <v>97116</v>
      </c>
      <c r="H22" s="9"/>
      <c r="I22" s="9"/>
      <c r="J22" s="9"/>
      <c r="K22" s="2">
        <f t="shared" si="0"/>
        <v>97116</v>
      </c>
      <c r="L22" s="13">
        <f>+F22</f>
        <v>21.705000000000002</v>
      </c>
    </row>
    <row r="23" spans="6:12" x14ac:dyDescent="0.25">
      <c r="F23" s="11">
        <f>26.79*0.75</f>
        <v>20.092500000000001</v>
      </c>
      <c r="G23" s="12">
        <v>97124</v>
      </c>
      <c r="H23" s="9"/>
      <c r="I23" s="9"/>
      <c r="J23" s="9"/>
      <c r="K23" s="2">
        <f t="shared" si="0"/>
        <v>97124</v>
      </c>
      <c r="L23" s="13">
        <f t="shared" si="1"/>
        <v>20.092500000000001</v>
      </c>
    </row>
    <row r="24" spans="6:12" x14ac:dyDescent="0.25">
      <c r="F24" s="11">
        <f>30.75*0.75</f>
        <v>23.0625</v>
      </c>
      <c r="G24" s="12">
        <v>97140</v>
      </c>
      <c r="H24" s="9"/>
      <c r="I24" s="9"/>
      <c r="J24" s="9"/>
      <c r="K24" s="2">
        <f t="shared" si="0"/>
        <v>97140</v>
      </c>
      <c r="L24" s="13">
        <f t="shared" si="1"/>
        <v>23.0625</v>
      </c>
    </row>
    <row r="25" spans="6:12" x14ac:dyDescent="0.25">
      <c r="F25" s="11">
        <f>17.71*0.75</f>
        <v>13.282500000000001</v>
      </c>
      <c r="G25" s="12">
        <v>97150</v>
      </c>
      <c r="H25" s="9"/>
      <c r="I25" s="9"/>
      <c r="J25" s="9"/>
      <c r="K25" s="2">
        <f t="shared" si="0"/>
        <v>97150</v>
      </c>
      <c r="L25" s="13">
        <f t="shared" si="1"/>
        <v>13.282500000000001</v>
      </c>
    </row>
    <row r="26" spans="6:12" x14ac:dyDescent="0.25">
      <c r="F26" s="11">
        <f>39.14*0.75</f>
        <v>29.355</v>
      </c>
      <c r="G26" s="12">
        <v>97760</v>
      </c>
      <c r="H26" s="9"/>
      <c r="I26" s="9"/>
      <c r="J26" s="9"/>
      <c r="K26" s="2">
        <f t="shared" si="0"/>
        <v>97760</v>
      </c>
      <c r="L26" s="13">
        <f t="shared" si="1"/>
        <v>29.355</v>
      </c>
    </row>
    <row r="27" spans="6:12" x14ac:dyDescent="0.25">
      <c r="F27" s="11">
        <f>35.84*0.75</f>
        <v>26.880000000000003</v>
      </c>
      <c r="G27" s="12">
        <v>97530</v>
      </c>
      <c r="H27" s="9"/>
      <c r="I27" s="9"/>
      <c r="J27" s="9"/>
      <c r="K27" s="2">
        <f t="shared" si="0"/>
        <v>97530</v>
      </c>
      <c r="L27" s="13">
        <f t="shared" si="1"/>
        <v>26.880000000000003</v>
      </c>
    </row>
    <row r="28" spans="6:12" x14ac:dyDescent="0.25">
      <c r="F28" s="11">
        <f>27.1*0.75</f>
        <v>20.325000000000003</v>
      </c>
      <c r="G28" s="2">
        <v>97532</v>
      </c>
      <c r="H28" s="9"/>
      <c r="I28" s="9"/>
      <c r="J28" s="9"/>
      <c r="K28" s="2">
        <f t="shared" si="0"/>
        <v>97532</v>
      </c>
      <c r="L28" s="13">
        <f t="shared" si="1"/>
        <v>20.325000000000003</v>
      </c>
    </row>
    <row r="29" spans="6:12" x14ac:dyDescent="0.25">
      <c r="F29" s="14">
        <v>22.1</v>
      </c>
      <c r="G29" s="2">
        <v>97533</v>
      </c>
      <c r="H29" s="9"/>
      <c r="I29" s="9"/>
      <c r="J29" s="9"/>
      <c r="K29" s="2">
        <f t="shared" si="0"/>
        <v>97533</v>
      </c>
      <c r="L29" s="13">
        <f t="shared" si="1"/>
        <v>22.1</v>
      </c>
    </row>
    <row r="30" spans="6:12" x14ac:dyDescent="0.25">
      <c r="F30" s="11">
        <f>30.02*0.75</f>
        <v>22.515000000000001</v>
      </c>
      <c r="G30" s="12">
        <v>97535</v>
      </c>
      <c r="H30" s="9"/>
      <c r="I30" s="9"/>
      <c r="J30" s="9"/>
      <c r="K30" s="2">
        <f t="shared" si="0"/>
        <v>97535</v>
      </c>
      <c r="L30" s="13">
        <f t="shared" si="1"/>
        <v>22.515000000000001</v>
      </c>
    </row>
    <row r="31" spans="6:12" x14ac:dyDescent="0.25">
      <c r="F31" s="11">
        <f>31.49*0.75</f>
        <v>23.6175</v>
      </c>
      <c r="G31" s="2">
        <v>97542</v>
      </c>
      <c r="H31" s="9"/>
      <c r="I31" s="9"/>
      <c r="J31" s="9"/>
      <c r="K31" s="2">
        <f t="shared" si="0"/>
        <v>97542</v>
      </c>
      <c r="L31" s="13">
        <f t="shared" si="1"/>
        <v>23.6175</v>
      </c>
    </row>
    <row r="32" spans="6:12" x14ac:dyDescent="0.25">
      <c r="F32" s="15">
        <f>87.93*0.75</f>
        <v>65.947500000000005</v>
      </c>
      <c r="G32" s="12">
        <v>92610</v>
      </c>
      <c r="H32" s="9"/>
      <c r="I32" s="9"/>
      <c r="J32" s="9"/>
      <c r="K32" s="2">
        <f t="shared" si="0"/>
        <v>92610</v>
      </c>
      <c r="L32" s="13">
        <f t="shared" si="1"/>
        <v>65.947500000000005</v>
      </c>
    </row>
    <row r="33" spans="5:12" x14ac:dyDescent="0.25">
      <c r="F33" s="11">
        <f>109.92*0.75</f>
        <v>82.44</v>
      </c>
      <c r="G33" s="12">
        <v>96105</v>
      </c>
      <c r="H33" s="9"/>
      <c r="I33" s="9"/>
      <c r="J33" s="9"/>
      <c r="K33" s="2">
        <f t="shared" si="0"/>
        <v>96105</v>
      </c>
      <c r="L33" s="13">
        <f t="shared" si="1"/>
        <v>82.44</v>
      </c>
    </row>
    <row r="34" spans="5:12" x14ac:dyDescent="0.25">
      <c r="F34" s="15">
        <f>130.65*0.75</f>
        <v>97.987500000000011</v>
      </c>
      <c r="G34" s="12">
        <v>92607</v>
      </c>
      <c r="H34" s="9"/>
      <c r="I34" s="9"/>
      <c r="J34" s="9"/>
      <c r="K34" s="2">
        <f t="shared" si="0"/>
        <v>92607</v>
      </c>
      <c r="L34" s="13">
        <f t="shared" si="1"/>
        <v>97.987500000000011</v>
      </c>
    </row>
    <row r="35" spans="5:12" x14ac:dyDescent="0.25">
      <c r="F35" s="15">
        <f>6.91*0.75</f>
        <v>5.1825000000000001</v>
      </c>
      <c r="G35" s="12">
        <v>97024</v>
      </c>
      <c r="H35" s="9"/>
      <c r="I35" s="9"/>
      <c r="J35" s="9"/>
      <c r="K35" s="2">
        <f t="shared" si="0"/>
        <v>97024</v>
      </c>
      <c r="L35" s="13">
        <f t="shared" si="1"/>
        <v>5.1825000000000001</v>
      </c>
    </row>
    <row r="36" spans="5:12" x14ac:dyDescent="0.25">
      <c r="F36" s="15">
        <v>10.52</v>
      </c>
      <c r="G36" s="12" t="s">
        <v>12</v>
      </c>
      <c r="H36" s="9"/>
      <c r="I36" s="9"/>
      <c r="J36" s="9"/>
      <c r="K36" s="2" t="str">
        <f t="shared" si="0"/>
        <v>GO283</v>
      </c>
      <c r="L36" s="13">
        <f t="shared" si="1"/>
        <v>10.52</v>
      </c>
    </row>
    <row r="37" spans="5:12" x14ac:dyDescent="0.25">
      <c r="F37" s="137">
        <f>34.04*0.75</f>
        <v>25.53</v>
      </c>
      <c r="G37" s="16">
        <v>97761</v>
      </c>
      <c r="K37" s="2">
        <f t="shared" si="0"/>
        <v>97761</v>
      </c>
      <c r="L37" s="13">
        <f t="shared" si="1"/>
        <v>25.53</v>
      </c>
    </row>
    <row r="38" spans="5:12" x14ac:dyDescent="0.25">
      <c r="F38" s="137">
        <f>49.42*0.75</f>
        <v>37.064999999999998</v>
      </c>
      <c r="G38" s="16">
        <v>97762</v>
      </c>
      <c r="K38" s="2">
        <f t="shared" si="0"/>
        <v>97762</v>
      </c>
      <c r="L38" s="13">
        <f t="shared" si="1"/>
        <v>37.064999999999998</v>
      </c>
    </row>
    <row r="39" spans="5:12" x14ac:dyDescent="0.25">
      <c r="F39" s="137">
        <f>118.69*0.75</f>
        <v>89.017499999999998</v>
      </c>
      <c r="G39" s="16">
        <v>96125</v>
      </c>
      <c r="K39" s="2">
        <f t="shared" si="0"/>
        <v>96125</v>
      </c>
      <c r="L39" s="13">
        <f t="shared" si="1"/>
        <v>89.017499999999998</v>
      </c>
    </row>
    <row r="40" spans="5:12" x14ac:dyDescent="0.25">
      <c r="F40" s="143">
        <f>134*0.75</f>
        <v>100.5</v>
      </c>
      <c r="G40" s="16">
        <v>96111</v>
      </c>
      <c r="K40" s="2">
        <f t="shared" si="0"/>
        <v>96111</v>
      </c>
      <c r="L40" s="13">
        <f t="shared" si="1"/>
        <v>100.5</v>
      </c>
    </row>
    <row r="41" spans="5:12" x14ac:dyDescent="0.25">
      <c r="F41" s="143">
        <v>12.13</v>
      </c>
      <c r="G41" s="12">
        <v>97012</v>
      </c>
      <c r="K41" s="2">
        <f t="shared" si="0"/>
        <v>97012</v>
      </c>
      <c r="L41" s="13">
        <f t="shared" si="1"/>
        <v>12.13</v>
      </c>
    </row>
    <row r="42" spans="5:12" x14ac:dyDescent="0.25">
      <c r="F42" s="137">
        <f>113.59*0.75</f>
        <v>85.192499999999995</v>
      </c>
      <c r="G42" s="12">
        <v>92521</v>
      </c>
      <c r="K42" s="2">
        <f t="shared" si="0"/>
        <v>92521</v>
      </c>
      <c r="L42" s="13">
        <f t="shared" si="1"/>
        <v>85.192499999999995</v>
      </c>
    </row>
    <row r="43" spans="5:12" x14ac:dyDescent="0.25">
      <c r="F43" s="137">
        <f>94.03*0.75</f>
        <v>70.522500000000008</v>
      </c>
      <c r="G43" s="16">
        <v>92522</v>
      </c>
      <c r="K43" s="2">
        <f t="shared" ref="K43:K53" si="2">+G43</f>
        <v>92522</v>
      </c>
      <c r="L43" s="13">
        <f>+F43</f>
        <v>70.522500000000008</v>
      </c>
    </row>
    <row r="44" spans="5:12" x14ac:dyDescent="0.25">
      <c r="F44" s="137">
        <f>200.77*0.75</f>
        <v>150.57750000000001</v>
      </c>
      <c r="G44" s="146">
        <v>92523</v>
      </c>
      <c r="K44" s="2">
        <f t="shared" si="2"/>
        <v>92523</v>
      </c>
      <c r="L44" s="13">
        <f>+F44</f>
        <v>150.57750000000001</v>
      </c>
    </row>
    <row r="45" spans="5:12" x14ac:dyDescent="0.25">
      <c r="F45" s="137">
        <f>90.75*0.75</f>
        <v>68.0625</v>
      </c>
      <c r="G45" s="146">
        <v>92524</v>
      </c>
      <c r="K45" s="2">
        <f t="shared" si="2"/>
        <v>92524</v>
      </c>
      <c r="L45" s="13">
        <f>+F45</f>
        <v>68.0625</v>
      </c>
    </row>
    <row r="46" spans="5:12" x14ac:dyDescent="0.25">
      <c r="F46" s="177">
        <f>82.59*0.75</f>
        <v>61.942500000000003</v>
      </c>
      <c r="G46" s="146">
        <v>97161</v>
      </c>
      <c r="K46" s="2">
        <f t="shared" si="2"/>
        <v>97161</v>
      </c>
      <c r="L46" s="13">
        <f t="shared" ref="L46:L53" si="3">+F46</f>
        <v>61.942500000000003</v>
      </c>
    </row>
    <row r="47" spans="5:12" ht="17.25" x14ac:dyDescent="0.25">
      <c r="E47" s="176"/>
      <c r="F47" s="177">
        <f>82.59*0.75</f>
        <v>61.942500000000003</v>
      </c>
      <c r="G47" s="146">
        <v>97162</v>
      </c>
      <c r="K47" s="2">
        <f t="shared" si="2"/>
        <v>97162</v>
      </c>
      <c r="L47" s="13">
        <f t="shared" si="3"/>
        <v>61.942500000000003</v>
      </c>
    </row>
    <row r="48" spans="5:12" ht="17.25" x14ac:dyDescent="0.25">
      <c r="E48" s="176"/>
      <c r="F48" s="177">
        <f>82.59*0.75</f>
        <v>61.942500000000003</v>
      </c>
      <c r="G48" s="146">
        <v>97163</v>
      </c>
      <c r="K48" s="2">
        <f t="shared" si="2"/>
        <v>97163</v>
      </c>
      <c r="L48" s="13">
        <f t="shared" si="3"/>
        <v>61.942500000000003</v>
      </c>
    </row>
    <row r="49" spans="5:12" ht="17.25" x14ac:dyDescent="0.25">
      <c r="E49" s="176"/>
      <c r="F49" s="177">
        <f>56.19*0.75</f>
        <v>42.142499999999998</v>
      </c>
      <c r="G49" s="146">
        <v>97164</v>
      </c>
      <c r="K49" s="2">
        <f t="shared" si="2"/>
        <v>97164</v>
      </c>
      <c r="L49" s="13">
        <f t="shared" si="3"/>
        <v>42.142499999999998</v>
      </c>
    </row>
    <row r="50" spans="5:12" ht="17.25" x14ac:dyDescent="0.25">
      <c r="E50" s="176"/>
      <c r="F50" s="177">
        <f>80.04*0.75</f>
        <v>60.03</v>
      </c>
      <c r="G50" s="146">
        <v>97165</v>
      </c>
      <c r="K50" s="2">
        <f t="shared" si="2"/>
        <v>97165</v>
      </c>
      <c r="L50" s="13">
        <f t="shared" si="3"/>
        <v>60.03</v>
      </c>
    </row>
    <row r="51" spans="5:12" ht="17.25" x14ac:dyDescent="0.25">
      <c r="E51" s="176"/>
      <c r="F51" s="177">
        <f>80.04*0.75</f>
        <v>60.03</v>
      </c>
      <c r="G51" s="146">
        <v>97166</v>
      </c>
      <c r="K51" s="2">
        <f t="shared" si="2"/>
        <v>97166</v>
      </c>
      <c r="L51" s="13">
        <f t="shared" si="3"/>
        <v>60.03</v>
      </c>
    </row>
    <row r="52" spans="5:12" ht="17.25" x14ac:dyDescent="0.25">
      <c r="E52" s="176"/>
      <c r="F52" s="177">
        <f>80.04*0.75</f>
        <v>60.03</v>
      </c>
      <c r="G52" s="146">
        <v>97167</v>
      </c>
      <c r="K52" s="2">
        <f t="shared" si="2"/>
        <v>97167</v>
      </c>
      <c r="L52" s="13">
        <f t="shared" si="3"/>
        <v>60.03</v>
      </c>
    </row>
    <row r="53" spans="5:12" ht="17.25" x14ac:dyDescent="0.25">
      <c r="E53" s="176"/>
      <c r="F53" s="177">
        <f>52.89*0.75</f>
        <v>39.667500000000004</v>
      </c>
      <c r="G53" s="146">
        <v>97168</v>
      </c>
      <c r="K53" s="2">
        <f t="shared" si="2"/>
        <v>97168</v>
      </c>
      <c r="L53" s="13">
        <f t="shared" si="3"/>
        <v>39.667500000000004</v>
      </c>
    </row>
    <row r="54" spans="5:12" ht="17.25" x14ac:dyDescent="0.25">
      <c r="E54" s="176"/>
    </row>
  </sheetData>
  <mergeCells count="3">
    <mergeCell ref="A1:H1"/>
    <mergeCell ref="A2:H2"/>
    <mergeCell ref="A3:H3"/>
  </mergeCells>
  <pageMargins left="0.7" right="0.7" top="0.75" bottom="0.75" header="0.3" footer="0.3"/>
  <pageSetup scale="81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W101"/>
  <sheetViews>
    <sheetView tabSelected="1" workbookViewId="0">
      <selection activeCell="H20" sqref="H20"/>
    </sheetView>
  </sheetViews>
  <sheetFormatPr defaultRowHeight="15" x14ac:dyDescent="0.25"/>
  <cols>
    <col min="15" max="16" width="9.140625" hidden="1" customWidth="1"/>
  </cols>
  <sheetData>
    <row r="1" spans="2:23" ht="15.75" thickBot="1" x14ac:dyDescent="0.3"/>
    <row r="2" spans="2:23" ht="21.75" thickBot="1" x14ac:dyDescent="0.3">
      <c r="I2" s="184" t="s">
        <v>146</v>
      </c>
      <c r="J2" s="185"/>
      <c r="K2" s="185"/>
      <c r="L2" s="185"/>
      <c r="M2" s="185"/>
      <c r="N2" s="186"/>
      <c r="R2" s="184" t="s">
        <v>145</v>
      </c>
      <c r="S2" s="185"/>
      <c r="T2" s="185"/>
      <c r="U2" s="185"/>
      <c r="V2" s="185"/>
      <c r="W2" s="186"/>
    </row>
    <row r="3" spans="2:23" x14ac:dyDescent="0.25">
      <c r="I3" s="169"/>
      <c r="J3" s="170"/>
      <c r="K3" s="170"/>
      <c r="L3" s="170"/>
      <c r="M3" s="170"/>
      <c r="N3" s="171"/>
      <c r="R3" s="166"/>
      <c r="S3" s="167"/>
      <c r="T3" s="167"/>
      <c r="U3" s="167"/>
      <c r="V3" s="167"/>
      <c r="W3" s="168"/>
    </row>
    <row r="4" spans="2:23" x14ac:dyDescent="0.25">
      <c r="I4" s="169"/>
      <c r="J4" s="170"/>
      <c r="K4" s="170"/>
      <c r="L4" s="170"/>
      <c r="M4" s="170"/>
      <c r="N4" s="171"/>
      <c r="R4" s="169"/>
      <c r="S4" s="170"/>
      <c r="T4" s="170"/>
      <c r="U4" s="170"/>
      <c r="V4" s="170"/>
      <c r="W4" s="171"/>
    </row>
    <row r="5" spans="2:23" x14ac:dyDescent="0.25">
      <c r="I5" s="169"/>
      <c r="J5" s="170"/>
      <c r="K5" s="170"/>
      <c r="L5" s="170"/>
      <c r="M5" s="170"/>
      <c r="N5" s="171"/>
      <c r="R5" s="169"/>
      <c r="S5" s="170"/>
      <c r="T5" s="170"/>
      <c r="U5" s="170"/>
      <c r="V5" s="170"/>
      <c r="W5" s="171"/>
    </row>
    <row r="6" spans="2:23" x14ac:dyDescent="0.25">
      <c r="I6" s="169"/>
      <c r="J6" s="170"/>
      <c r="K6" s="170"/>
      <c r="L6" s="170"/>
      <c r="M6" s="170"/>
      <c r="N6" s="171"/>
      <c r="R6" s="169"/>
      <c r="S6" s="170"/>
      <c r="T6" s="170"/>
      <c r="U6" s="170"/>
      <c r="V6" s="170"/>
      <c r="W6" s="171"/>
    </row>
    <row r="7" spans="2:23" x14ac:dyDescent="0.25">
      <c r="I7" s="169"/>
      <c r="J7" s="170"/>
      <c r="K7" s="170"/>
      <c r="L7" s="170"/>
      <c r="M7" s="170"/>
      <c r="N7" s="171"/>
      <c r="R7" s="169"/>
      <c r="S7" s="170"/>
      <c r="T7" s="170"/>
      <c r="U7" s="170"/>
      <c r="V7" s="170"/>
      <c r="W7" s="171"/>
    </row>
    <row r="8" spans="2:23" x14ac:dyDescent="0.25">
      <c r="I8" s="169"/>
      <c r="J8" s="170"/>
      <c r="K8" s="170"/>
      <c r="L8" s="170"/>
      <c r="M8" s="170"/>
      <c r="N8" s="171"/>
      <c r="R8" s="169"/>
      <c r="S8" s="170"/>
      <c r="T8" s="170"/>
      <c r="U8" s="170"/>
      <c r="V8" s="170"/>
      <c r="W8" s="171"/>
    </row>
    <row r="9" spans="2:23" x14ac:dyDescent="0.25">
      <c r="I9" s="169"/>
      <c r="J9" s="170"/>
      <c r="K9" s="170"/>
      <c r="L9" s="170"/>
      <c r="M9" s="170"/>
      <c r="N9" s="171"/>
      <c r="R9" s="169"/>
      <c r="S9" s="170"/>
      <c r="T9" s="170"/>
      <c r="U9" s="170"/>
      <c r="V9" s="170"/>
      <c r="W9" s="171"/>
    </row>
    <row r="10" spans="2:23" x14ac:dyDescent="0.25">
      <c r="I10" s="169"/>
      <c r="J10" s="170"/>
      <c r="K10" s="170"/>
      <c r="L10" s="170"/>
      <c r="M10" s="170"/>
      <c r="N10" s="171"/>
      <c r="R10" s="169"/>
      <c r="S10" s="170"/>
      <c r="T10" s="170"/>
      <c r="U10" s="170"/>
      <c r="V10" s="170"/>
      <c r="W10" s="171"/>
    </row>
    <row r="11" spans="2:23" x14ac:dyDescent="0.25">
      <c r="I11" s="169"/>
      <c r="J11" s="170"/>
      <c r="K11" s="170"/>
      <c r="L11" s="170"/>
      <c r="M11" s="170"/>
      <c r="N11" s="171"/>
      <c r="R11" s="169"/>
      <c r="S11" s="170"/>
      <c r="T11" s="170"/>
      <c r="U11" s="170"/>
      <c r="V11" s="170"/>
      <c r="W11" s="171"/>
    </row>
    <row r="12" spans="2:23" x14ac:dyDescent="0.25">
      <c r="I12" s="169"/>
      <c r="J12" s="170"/>
      <c r="K12" s="170"/>
      <c r="L12" s="170"/>
      <c r="M12" s="170"/>
      <c r="N12" s="171"/>
      <c r="R12" s="169"/>
      <c r="S12" s="170"/>
      <c r="T12" s="170"/>
      <c r="U12" s="170"/>
      <c r="V12" s="170"/>
      <c r="W12" s="171"/>
    </row>
    <row r="13" spans="2:23" x14ac:dyDescent="0.25">
      <c r="I13" s="169"/>
      <c r="J13" s="170"/>
      <c r="K13" s="170"/>
      <c r="L13" s="170"/>
      <c r="M13" s="170"/>
      <c r="N13" s="171"/>
      <c r="R13" s="169"/>
      <c r="S13" s="170"/>
      <c r="T13" s="170"/>
      <c r="U13" s="170"/>
      <c r="V13" s="170"/>
      <c r="W13" s="171"/>
    </row>
    <row r="14" spans="2:23" ht="15.75" thickBot="1" x14ac:dyDescent="0.3">
      <c r="I14" s="169"/>
      <c r="J14" s="170"/>
      <c r="K14" s="170"/>
      <c r="L14" s="170"/>
      <c r="M14" s="170"/>
      <c r="N14" s="171"/>
      <c r="R14" s="169"/>
      <c r="S14" s="170"/>
      <c r="T14" s="170"/>
      <c r="U14" s="170"/>
      <c r="V14" s="170"/>
      <c r="W14" s="171"/>
    </row>
    <row r="15" spans="2:23" ht="15.75" thickBot="1" x14ac:dyDescent="0.3">
      <c r="I15" s="169"/>
      <c r="J15" s="170"/>
      <c r="K15" s="170"/>
      <c r="L15" s="170"/>
      <c r="M15" s="170"/>
      <c r="N15" s="171"/>
      <c r="O15" s="187" t="s">
        <v>123</v>
      </c>
      <c r="P15" s="192"/>
      <c r="Q15" s="121"/>
      <c r="R15" s="169"/>
      <c r="S15" s="170"/>
      <c r="T15" s="170"/>
      <c r="U15" s="170"/>
      <c r="V15" s="170"/>
      <c r="W15" s="171"/>
    </row>
    <row r="16" spans="2:23" x14ac:dyDescent="0.25">
      <c r="B16" t="s">
        <v>144</v>
      </c>
      <c r="I16" s="169"/>
      <c r="J16" s="170"/>
      <c r="K16" s="170"/>
      <c r="L16" s="170"/>
      <c r="M16" s="170"/>
      <c r="N16" s="171"/>
      <c r="O16" s="175" t="s">
        <v>148</v>
      </c>
      <c r="P16" s="121"/>
      <c r="R16" s="169"/>
      <c r="S16" s="170"/>
      <c r="T16" s="170"/>
      <c r="U16" s="170"/>
      <c r="V16" s="170"/>
      <c r="W16" s="171"/>
    </row>
    <row r="17" spans="2:23" x14ac:dyDescent="0.25">
      <c r="I17" s="169"/>
      <c r="J17" s="170"/>
      <c r="K17" s="170"/>
      <c r="L17" s="170"/>
      <c r="M17" s="170"/>
      <c r="N17" s="171"/>
      <c r="O17" t="s">
        <v>124</v>
      </c>
      <c r="R17" s="169"/>
      <c r="S17" s="170"/>
      <c r="T17" s="170"/>
      <c r="U17" s="170"/>
      <c r="V17" s="170"/>
      <c r="W17" s="171"/>
    </row>
    <row r="18" spans="2:23" x14ac:dyDescent="0.25">
      <c r="I18" s="169"/>
      <c r="J18" s="170"/>
      <c r="K18" s="170"/>
      <c r="L18" s="170"/>
      <c r="M18" s="170"/>
      <c r="N18" s="171"/>
      <c r="O18" t="s">
        <v>125</v>
      </c>
      <c r="R18" s="169"/>
      <c r="S18" s="170"/>
      <c r="T18" s="170"/>
      <c r="U18" s="170"/>
      <c r="V18" s="170"/>
      <c r="W18" s="171"/>
    </row>
    <row r="19" spans="2:23" x14ac:dyDescent="0.25">
      <c r="I19" s="169"/>
      <c r="J19" s="170"/>
      <c r="K19" s="170"/>
      <c r="L19" s="170"/>
      <c r="M19" s="170"/>
      <c r="N19" s="171"/>
      <c r="O19" t="s">
        <v>126</v>
      </c>
      <c r="R19" s="169"/>
      <c r="S19" s="170"/>
      <c r="T19" s="170"/>
      <c r="U19" s="170"/>
      <c r="V19" s="170"/>
      <c r="W19" s="171"/>
    </row>
    <row r="20" spans="2:23" x14ac:dyDescent="0.25">
      <c r="I20" s="169"/>
      <c r="J20" s="170"/>
      <c r="K20" s="170"/>
      <c r="L20" s="170"/>
      <c r="M20" s="170"/>
      <c r="N20" s="171"/>
      <c r="O20" t="s">
        <v>127</v>
      </c>
      <c r="R20" s="169"/>
      <c r="S20" s="170"/>
      <c r="T20" s="170"/>
      <c r="U20" s="170"/>
      <c r="V20" s="170"/>
      <c r="W20" s="171"/>
    </row>
    <row r="21" spans="2:23" x14ac:dyDescent="0.25">
      <c r="I21" s="169"/>
      <c r="J21" s="170"/>
      <c r="K21" s="170"/>
      <c r="L21" s="170"/>
      <c r="M21" s="170"/>
      <c r="N21" s="171"/>
      <c r="O21" t="s">
        <v>128</v>
      </c>
      <c r="R21" s="169"/>
      <c r="S21" s="170"/>
      <c r="T21" s="170"/>
      <c r="U21" s="170"/>
      <c r="V21" s="170"/>
      <c r="W21" s="171"/>
    </row>
    <row r="22" spans="2:23" ht="15.75" thickBot="1" x14ac:dyDescent="0.3">
      <c r="I22" s="169"/>
      <c r="J22" s="170"/>
      <c r="K22" s="170"/>
      <c r="L22" s="170"/>
      <c r="M22" s="170"/>
      <c r="N22" s="171"/>
      <c r="O22" t="s">
        <v>129</v>
      </c>
      <c r="R22" s="169"/>
      <c r="S22" s="170"/>
      <c r="T22" s="170"/>
      <c r="U22" s="170"/>
      <c r="V22" s="170"/>
      <c r="W22" s="171"/>
    </row>
    <row r="23" spans="2:23" ht="15.75" thickBot="1" x14ac:dyDescent="0.3">
      <c r="B23" s="187" t="s">
        <v>123</v>
      </c>
      <c r="C23" s="188"/>
      <c r="D23" s="189" t="s">
        <v>148</v>
      </c>
      <c r="E23" s="190"/>
      <c r="F23" s="190"/>
      <c r="G23" s="191"/>
      <c r="I23" s="169"/>
      <c r="J23" s="170"/>
      <c r="K23" s="170"/>
      <c r="L23" s="170"/>
      <c r="M23" s="170"/>
      <c r="N23" s="171"/>
      <c r="O23" t="s">
        <v>130</v>
      </c>
      <c r="R23" s="169"/>
      <c r="S23" s="170"/>
      <c r="T23" s="170"/>
      <c r="U23" s="170"/>
      <c r="V23" s="170"/>
      <c r="W23" s="171"/>
    </row>
    <row r="24" spans="2:23" x14ac:dyDescent="0.25">
      <c r="I24" s="169"/>
      <c r="J24" s="170"/>
      <c r="K24" s="170"/>
      <c r="L24" s="170"/>
      <c r="M24" s="170"/>
      <c r="N24" s="171"/>
      <c r="O24" t="s">
        <v>131</v>
      </c>
      <c r="R24" s="169"/>
      <c r="S24" s="170"/>
      <c r="T24" s="170"/>
      <c r="U24" s="170"/>
      <c r="V24" s="170"/>
      <c r="W24" s="171"/>
    </row>
    <row r="25" spans="2:23" ht="15" customHeight="1" x14ac:dyDescent="0.25">
      <c r="I25" s="169"/>
      <c r="J25" s="170"/>
      <c r="K25" s="170"/>
      <c r="L25" s="170"/>
      <c r="M25" s="170"/>
      <c r="N25" s="171"/>
      <c r="O25" t="s">
        <v>132</v>
      </c>
      <c r="R25" s="169"/>
      <c r="S25" s="170"/>
      <c r="T25" s="170"/>
      <c r="U25" s="170"/>
      <c r="V25" s="170"/>
      <c r="W25" s="171"/>
    </row>
    <row r="26" spans="2:23" x14ac:dyDescent="0.25">
      <c r="I26" s="169"/>
      <c r="J26" s="170"/>
      <c r="K26" s="170"/>
      <c r="L26" s="170"/>
      <c r="M26" s="170"/>
      <c r="N26" s="171"/>
      <c r="O26" t="s">
        <v>133</v>
      </c>
      <c r="R26" s="169"/>
      <c r="S26" s="170"/>
      <c r="T26" s="170"/>
      <c r="U26" s="170"/>
      <c r="V26" s="170"/>
      <c r="W26" s="171"/>
    </row>
    <row r="27" spans="2:23" x14ac:dyDescent="0.25">
      <c r="I27" s="169"/>
      <c r="J27" s="170"/>
      <c r="K27" s="170"/>
      <c r="L27" s="170"/>
      <c r="M27" s="170"/>
      <c r="N27" s="171"/>
      <c r="O27" t="s">
        <v>134</v>
      </c>
      <c r="R27" s="169"/>
      <c r="S27" s="170"/>
      <c r="T27" s="170"/>
      <c r="U27" s="170"/>
      <c r="V27" s="170"/>
      <c r="W27" s="171"/>
    </row>
    <row r="28" spans="2:23" x14ac:dyDescent="0.25">
      <c r="I28" s="169"/>
      <c r="J28" s="170"/>
      <c r="K28" s="170"/>
      <c r="L28" s="170"/>
      <c r="M28" s="170"/>
      <c r="N28" s="171"/>
      <c r="O28" t="s">
        <v>135</v>
      </c>
      <c r="R28" s="169"/>
      <c r="S28" s="170"/>
      <c r="T28" s="170"/>
      <c r="U28" s="170"/>
      <c r="V28" s="170"/>
      <c r="W28" s="171"/>
    </row>
    <row r="29" spans="2:23" x14ac:dyDescent="0.25">
      <c r="I29" s="169"/>
      <c r="J29" s="170"/>
      <c r="K29" s="170"/>
      <c r="L29" s="170"/>
      <c r="M29" s="170"/>
      <c r="N29" s="171"/>
      <c r="O29" t="s">
        <v>136</v>
      </c>
      <c r="R29" s="169"/>
      <c r="S29" s="170"/>
      <c r="T29" s="170"/>
      <c r="U29" s="170"/>
      <c r="V29" s="170"/>
      <c r="W29" s="171"/>
    </row>
    <row r="30" spans="2:23" x14ac:dyDescent="0.25">
      <c r="I30" s="169"/>
      <c r="J30" s="170"/>
      <c r="K30" s="170"/>
      <c r="L30" s="170"/>
      <c r="M30" s="170"/>
      <c r="N30" s="171"/>
      <c r="O30" t="s">
        <v>137</v>
      </c>
      <c r="R30" s="169"/>
      <c r="S30" s="170"/>
      <c r="T30" s="170"/>
      <c r="U30" s="170"/>
      <c r="V30" s="170"/>
      <c r="W30" s="171"/>
    </row>
    <row r="31" spans="2:23" x14ac:dyDescent="0.25">
      <c r="I31" s="169"/>
      <c r="J31" s="170"/>
      <c r="K31" s="170"/>
      <c r="L31" s="170"/>
      <c r="M31" s="170"/>
      <c r="N31" s="171"/>
      <c r="O31" t="s">
        <v>138</v>
      </c>
      <c r="R31" s="169"/>
      <c r="S31" s="170"/>
      <c r="T31" s="170"/>
      <c r="U31" s="170"/>
      <c r="V31" s="170"/>
      <c r="W31" s="171"/>
    </row>
    <row r="32" spans="2:23" x14ac:dyDescent="0.25">
      <c r="I32" s="169"/>
      <c r="J32" s="170"/>
      <c r="K32" s="170"/>
      <c r="L32" s="170"/>
      <c r="M32" s="170"/>
      <c r="N32" s="171"/>
      <c r="O32" t="s">
        <v>139</v>
      </c>
      <c r="R32" s="169"/>
      <c r="S32" s="170"/>
      <c r="T32" s="170"/>
      <c r="U32" s="170"/>
      <c r="V32" s="170"/>
      <c r="W32" s="171"/>
    </row>
    <row r="33" spans="9:23" x14ac:dyDescent="0.25">
      <c r="I33" s="169"/>
      <c r="J33" s="170"/>
      <c r="K33" s="170"/>
      <c r="L33" s="170"/>
      <c r="M33" s="170"/>
      <c r="N33" s="171"/>
      <c r="O33" t="s">
        <v>140</v>
      </c>
      <c r="R33" s="169"/>
      <c r="S33" s="170"/>
      <c r="T33" s="170"/>
      <c r="U33" s="170"/>
      <c r="V33" s="170"/>
      <c r="W33" s="171"/>
    </row>
    <row r="34" spans="9:23" x14ac:dyDescent="0.25">
      <c r="I34" s="169"/>
      <c r="J34" s="170"/>
      <c r="K34" s="170"/>
      <c r="L34" s="170"/>
      <c r="M34" s="170"/>
      <c r="N34" s="171"/>
      <c r="O34" t="s">
        <v>141</v>
      </c>
      <c r="R34" s="169"/>
      <c r="S34" s="170"/>
      <c r="T34" s="170"/>
      <c r="U34" s="170"/>
      <c r="V34" s="170"/>
      <c r="W34" s="171"/>
    </row>
    <row r="35" spans="9:23" x14ac:dyDescent="0.25">
      <c r="I35" s="169"/>
      <c r="J35" s="170"/>
      <c r="K35" s="170"/>
      <c r="L35" s="170"/>
      <c r="M35" s="170"/>
      <c r="N35" s="171"/>
      <c r="O35" t="s">
        <v>142</v>
      </c>
      <c r="R35" s="169"/>
      <c r="S35" s="170"/>
      <c r="T35" s="170"/>
      <c r="U35" s="170"/>
      <c r="V35" s="170"/>
      <c r="W35" s="171"/>
    </row>
    <row r="36" spans="9:23" x14ac:dyDescent="0.25">
      <c r="I36" s="169"/>
      <c r="J36" s="170"/>
      <c r="K36" s="170"/>
      <c r="L36" s="170"/>
      <c r="M36" s="170"/>
      <c r="N36" s="171"/>
      <c r="O36" t="s">
        <v>143</v>
      </c>
      <c r="R36" s="169"/>
      <c r="S36" s="170"/>
      <c r="T36" s="170"/>
      <c r="U36" s="170"/>
      <c r="V36" s="170"/>
      <c r="W36" s="171"/>
    </row>
    <row r="37" spans="9:23" x14ac:dyDescent="0.25">
      <c r="I37" s="169"/>
      <c r="J37" s="170"/>
      <c r="K37" s="170"/>
      <c r="L37" s="170"/>
      <c r="M37" s="170"/>
      <c r="N37" s="171"/>
      <c r="R37" s="169"/>
      <c r="S37" s="170"/>
      <c r="T37" s="170"/>
      <c r="U37" s="170"/>
      <c r="V37" s="170"/>
      <c r="W37" s="171"/>
    </row>
    <row r="38" spans="9:23" x14ac:dyDescent="0.25">
      <c r="I38" s="169"/>
      <c r="J38" s="170"/>
      <c r="K38" s="170"/>
      <c r="L38" s="170"/>
      <c r="M38" s="170"/>
      <c r="N38" s="171"/>
      <c r="R38" s="169"/>
      <c r="S38" s="170"/>
      <c r="T38" s="170"/>
      <c r="U38" s="170"/>
      <c r="V38" s="170"/>
      <c r="W38" s="171"/>
    </row>
    <row r="39" spans="9:23" x14ac:dyDescent="0.25">
      <c r="I39" s="169"/>
      <c r="J39" s="170"/>
      <c r="K39" s="170"/>
      <c r="L39" s="170"/>
      <c r="M39" s="170"/>
      <c r="N39" s="171"/>
      <c r="R39" s="169"/>
      <c r="S39" s="170"/>
      <c r="T39" s="170"/>
      <c r="U39" s="170"/>
      <c r="V39" s="170"/>
      <c r="W39" s="171"/>
    </row>
    <row r="40" spans="9:23" x14ac:dyDescent="0.25">
      <c r="I40" s="169"/>
      <c r="J40" s="170"/>
      <c r="K40" s="170"/>
      <c r="L40" s="170"/>
      <c r="M40" s="170"/>
      <c r="N40" s="171"/>
      <c r="R40" s="169"/>
      <c r="S40" s="170"/>
      <c r="T40" s="170"/>
      <c r="U40" s="170"/>
      <c r="V40" s="170"/>
      <c r="W40" s="171"/>
    </row>
    <row r="41" spans="9:23" x14ac:dyDescent="0.25">
      <c r="I41" s="169"/>
      <c r="J41" s="170"/>
      <c r="K41" s="170"/>
      <c r="L41" s="170"/>
      <c r="M41" s="170"/>
      <c r="N41" s="171"/>
      <c r="R41" s="169"/>
      <c r="S41" s="170"/>
      <c r="T41" s="170"/>
      <c r="U41" s="170"/>
      <c r="V41" s="170"/>
      <c r="W41" s="171"/>
    </row>
    <row r="42" spans="9:23" x14ac:dyDescent="0.25">
      <c r="I42" s="169"/>
      <c r="J42" s="170"/>
      <c r="K42" s="170"/>
      <c r="L42" s="170"/>
      <c r="M42" s="170"/>
      <c r="N42" s="171"/>
      <c r="R42" s="169"/>
      <c r="S42" s="170"/>
      <c r="T42" s="170"/>
      <c r="U42" s="170"/>
      <c r="V42" s="170"/>
      <c r="W42" s="171"/>
    </row>
    <row r="43" spans="9:23" x14ac:dyDescent="0.25">
      <c r="I43" s="169"/>
      <c r="J43" s="170"/>
      <c r="K43" s="170"/>
      <c r="L43" s="170"/>
      <c r="M43" s="170"/>
      <c r="N43" s="171"/>
      <c r="R43" s="169"/>
      <c r="S43" s="170"/>
      <c r="T43" s="170"/>
      <c r="U43" s="170"/>
      <c r="V43" s="170"/>
      <c r="W43" s="171"/>
    </row>
    <row r="44" spans="9:23" x14ac:dyDescent="0.25">
      <c r="I44" s="169"/>
      <c r="J44" s="170"/>
      <c r="K44" s="170"/>
      <c r="L44" s="170"/>
      <c r="M44" s="170"/>
      <c r="N44" s="171"/>
      <c r="R44" s="169"/>
      <c r="S44" s="170"/>
      <c r="T44" s="170"/>
      <c r="U44" s="170"/>
      <c r="V44" s="170"/>
      <c r="W44" s="171"/>
    </row>
    <row r="45" spans="9:23" x14ac:dyDescent="0.25">
      <c r="I45" s="169"/>
      <c r="J45" s="170"/>
      <c r="K45" s="170"/>
      <c r="L45" s="170"/>
      <c r="M45" s="170"/>
      <c r="N45" s="171"/>
      <c r="R45" s="169"/>
      <c r="S45" s="170"/>
      <c r="T45" s="170"/>
      <c r="U45" s="170"/>
      <c r="V45" s="170"/>
      <c r="W45" s="171"/>
    </row>
    <row r="46" spans="9:23" x14ac:dyDescent="0.25">
      <c r="I46" s="169"/>
      <c r="J46" s="170"/>
      <c r="K46" s="170"/>
      <c r="L46" s="170"/>
      <c r="M46" s="170"/>
      <c r="N46" s="171"/>
      <c r="R46" s="169"/>
      <c r="S46" s="170"/>
      <c r="T46" s="170"/>
      <c r="U46" s="170"/>
      <c r="V46" s="170"/>
      <c r="W46" s="171"/>
    </row>
    <row r="47" spans="9:23" x14ac:dyDescent="0.25">
      <c r="I47" s="169"/>
      <c r="J47" s="170"/>
      <c r="K47" s="170"/>
      <c r="L47" s="170"/>
      <c r="M47" s="170"/>
      <c r="N47" s="171"/>
      <c r="R47" s="169"/>
      <c r="S47" s="170"/>
      <c r="T47" s="170"/>
      <c r="U47" s="170"/>
      <c r="V47" s="170"/>
      <c r="W47" s="171"/>
    </row>
    <row r="48" spans="9:23" x14ac:dyDescent="0.25">
      <c r="I48" s="169"/>
      <c r="J48" s="170"/>
      <c r="K48" s="170"/>
      <c r="L48" s="170"/>
      <c r="M48" s="170"/>
      <c r="N48" s="171"/>
      <c r="R48" s="169"/>
      <c r="S48" s="170"/>
      <c r="T48" s="170"/>
      <c r="U48" s="170"/>
      <c r="V48" s="170"/>
      <c r="W48" s="171"/>
    </row>
    <row r="49" spans="9:23" x14ac:dyDescent="0.25">
      <c r="I49" s="169"/>
      <c r="J49" s="170"/>
      <c r="K49" s="170"/>
      <c r="L49" s="170"/>
      <c r="M49" s="170"/>
      <c r="N49" s="171"/>
      <c r="R49" s="169"/>
      <c r="S49" s="170"/>
      <c r="T49" s="170"/>
      <c r="U49" s="170"/>
      <c r="V49" s="170"/>
      <c r="W49" s="171"/>
    </row>
    <row r="50" spans="9:23" x14ac:dyDescent="0.25">
      <c r="I50" s="169"/>
      <c r="J50" s="170"/>
      <c r="K50" s="170"/>
      <c r="L50" s="170"/>
      <c r="M50" s="170"/>
      <c r="N50" s="171"/>
      <c r="R50" s="169"/>
      <c r="S50" s="170"/>
      <c r="T50" s="170"/>
      <c r="U50" s="170"/>
      <c r="V50" s="170"/>
      <c r="W50" s="171"/>
    </row>
    <row r="51" spans="9:23" x14ac:dyDescent="0.25">
      <c r="I51" s="169"/>
      <c r="J51" s="170"/>
      <c r="K51" s="170"/>
      <c r="L51" s="170"/>
      <c r="M51" s="170"/>
      <c r="N51" s="171"/>
      <c r="R51" s="169"/>
      <c r="S51" s="170"/>
      <c r="T51" s="170"/>
      <c r="U51" s="170"/>
      <c r="V51" s="170"/>
      <c r="W51" s="171"/>
    </row>
    <row r="52" spans="9:23" x14ac:dyDescent="0.25">
      <c r="I52" s="169"/>
      <c r="J52" s="170"/>
      <c r="K52" s="170"/>
      <c r="L52" s="170"/>
      <c r="M52" s="170"/>
      <c r="N52" s="171"/>
      <c r="R52" s="169"/>
      <c r="S52" s="170"/>
      <c r="T52" s="170"/>
      <c r="U52" s="170"/>
      <c r="V52" s="170"/>
      <c r="W52" s="171"/>
    </row>
    <row r="53" spans="9:23" x14ac:dyDescent="0.25">
      <c r="I53" s="169"/>
      <c r="J53" s="170"/>
      <c r="K53" s="170"/>
      <c r="L53" s="170"/>
      <c r="M53" s="170"/>
      <c r="N53" s="171"/>
      <c r="R53" s="169"/>
      <c r="S53" s="170"/>
      <c r="T53" s="170"/>
      <c r="U53" s="170"/>
      <c r="V53" s="170"/>
      <c r="W53" s="171"/>
    </row>
    <row r="54" spans="9:23" x14ac:dyDescent="0.25">
      <c r="I54" s="169"/>
      <c r="J54" s="170"/>
      <c r="K54" s="170"/>
      <c r="L54" s="170"/>
      <c r="M54" s="170"/>
      <c r="N54" s="171"/>
      <c r="R54" s="169"/>
      <c r="S54" s="170"/>
      <c r="T54" s="170"/>
      <c r="U54" s="170"/>
      <c r="V54" s="170"/>
      <c r="W54" s="171"/>
    </row>
    <row r="55" spans="9:23" x14ac:dyDescent="0.25">
      <c r="I55" s="169"/>
      <c r="J55" s="170"/>
      <c r="K55" s="170"/>
      <c r="L55" s="170"/>
      <c r="M55" s="170"/>
      <c r="N55" s="171"/>
      <c r="R55" s="169"/>
      <c r="S55" s="170"/>
      <c r="T55" s="170"/>
      <c r="U55" s="170"/>
      <c r="V55" s="170"/>
      <c r="W55" s="171"/>
    </row>
    <row r="56" spans="9:23" x14ac:dyDescent="0.25">
      <c r="I56" s="169"/>
      <c r="J56" s="170"/>
      <c r="K56" s="170"/>
      <c r="L56" s="170"/>
      <c r="M56" s="170"/>
      <c r="N56" s="171"/>
      <c r="R56" s="169"/>
      <c r="S56" s="170"/>
      <c r="T56" s="170"/>
      <c r="U56" s="170"/>
      <c r="V56" s="170"/>
      <c r="W56" s="171"/>
    </row>
    <row r="57" spans="9:23" x14ac:dyDescent="0.25">
      <c r="I57" s="169"/>
      <c r="J57" s="170"/>
      <c r="K57" s="170"/>
      <c r="L57" s="170"/>
      <c r="M57" s="170"/>
      <c r="N57" s="171"/>
      <c r="R57" s="169"/>
      <c r="S57" s="170"/>
      <c r="T57" s="170"/>
      <c r="U57" s="170"/>
      <c r="V57" s="170"/>
      <c r="W57" s="171"/>
    </row>
    <row r="58" spans="9:23" x14ac:dyDescent="0.25">
      <c r="I58" s="169"/>
      <c r="J58" s="170"/>
      <c r="K58" s="170"/>
      <c r="L58" s="170"/>
      <c r="M58" s="170"/>
      <c r="N58" s="171"/>
      <c r="R58" s="169"/>
      <c r="S58" s="170"/>
      <c r="T58" s="170"/>
      <c r="U58" s="170"/>
      <c r="V58" s="170"/>
      <c r="W58" s="171"/>
    </row>
    <row r="59" spans="9:23" x14ac:dyDescent="0.25">
      <c r="I59" s="169"/>
      <c r="J59" s="170"/>
      <c r="K59" s="170"/>
      <c r="L59" s="170"/>
      <c r="M59" s="170"/>
      <c r="N59" s="171"/>
      <c r="R59" s="169"/>
      <c r="S59" s="170"/>
      <c r="T59" s="170"/>
      <c r="U59" s="170"/>
      <c r="V59" s="170"/>
      <c r="W59" s="171"/>
    </row>
    <row r="60" spans="9:23" x14ac:dyDescent="0.25">
      <c r="I60" s="169"/>
      <c r="J60" s="170"/>
      <c r="K60" s="170"/>
      <c r="L60" s="170"/>
      <c r="M60" s="170"/>
      <c r="N60" s="171"/>
      <c r="R60" s="169"/>
      <c r="S60" s="170"/>
      <c r="T60" s="170"/>
      <c r="U60" s="170"/>
      <c r="V60" s="170"/>
      <c r="W60" s="171"/>
    </row>
    <row r="61" spans="9:23" x14ac:dyDescent="0.25">
      <c r="I61" s="169"/>
      <c r="J61" s="170"/>
      <c r="K61" s="170"/>
      <c r="L61" s="170"/>
      <c r="M61" s="170"/>
      <c r="N61" s="171"/>
      <c r="R61" s="169"/>
      <c r="S61" s="170"/>
      <c r="T61" s="170"/>
      <c r="U61" s="170"/>
      <c r="V61" s="170"/>
      <c r="W61" s="171"/>
    </row>
    <row r="62" spans="9:23" x14ac:dyDescent="0.25">
      <c r="I62" s="169"/>
      <c r="J62" s="170"/>
      <c r="K62" s="170"/>
      <c r="L62" s="170"/>
      <c r="M62" s="170"/>
      <c r="N62" s="171"/>
      <c r="R62" s="169"/>
      <c r="S62" s="170"/>
      <c r="T62" s="170"/>
      <c r="U62" s="170"/>
      <c r="V62" s="170"/>
      <c r="W62" s="171"/>
    </row>
    <row r="63" spans="9:23" x14ac:dyDescent="0.25">
      <c r="I63" s="169"/>
      <c r="J63" s="170"/>
      <c r="K63" s="170"/>
      <c r="L63" s="170"/>
      <c r="M63" s="170"/>
      <c r="N63" s="171"/>
      <c r="R63" s="169"/>
      <c r="S63" s="170"/>
      <c r="T63" s="170"/>
      <c r="U63" s="170"/>
      <c r="V63" s="170"/>
      <c r="W63" s="171"/>
    </row>
    <row r="64" spans="9:23" x14ac:dyDescent="0.25">
      <c r="I64" s="169"/>
      <c r="J64" s="170"/>
      <c r="K64" s="170"/>
      <c r="L64" s="170"/>
      <c r="M64" s="170"/>
      <c r="N64" s="171"/>
      <c r="R64" s="169"/>
      <c r="S64" s="170"/>
      <c r="T64" s="170"/>
      <c r="U64" s="170"/>
      <c r="V64" s="170"/>
      <c r="W64" s="171"/>
    </row>
    <row r="65" spans="9:23" x14ac:dyDescent="0.25">
      <c r="I65" s="169"/>
      <c r="J65" s="170"/>
      <c r="K65" s="170"/>
      <c r="L65" s="170"/>
      <c r="M65" s="170"/>
      <c r="N65" s="171"/>
      <c r="R65" s="169"/>
      <c r="S65" s="170"/>
      <c r="T65" s="170"/>
      <c r="U65" s="170"/>
      <c r="V65" s="170"/>
      <c r="W65" s="171"/>
    </row>
    <row r="66" spans="9:23" x14ac:dyDescent="0.25">
      <c r="I66" s="169"/>
      <c r="J66" s="170"/>
      <c r="K66" s="170"/>
      <c r="L66" s="170"/>
      <c r="M66" s="170"/>
      <c r="N66" s="171"/>
      <c r="R66" s="169"/>
      <c r="S66" s="170"/>
      <c r="T66" s="170"/>
      <c r="U66" s="170"/>
      <c r="V66" s="170"/>
      <c r="W66" s="171"/>
    </row>
    <row r="67" spans="9:23" x14ac:dyDescent="0.25">
      <c r="I67" s="169"/>
      <c r="J67" s="170"/>
      <c r="K67" s="170"/>
      <c r="L67" s="170"/>
      <c r="M67" s="170"/>
      <c r="N67" s="171"/>
      <c r="R67" s="169"/>
      <c r="S67" s="170"/>
      <c r="T67" s="170"/>
      <c r="U67" s="170"/>
      <c r="V67" s="170"/>
      <c r="W67" s="171"/>
    </row>
    <row r="68" spans="9:23" x14ac:dyDescent="0.25">
      <c r="I68" s="169"/>
      <c r="J68" s="170"/>
      <c r="K68" s="170"/>
      <c r="L68" s="170"/>
      <c r="M68" s="170"/>
      <c r="N68" s="171"/>
      <c r="R68" s="169"/>
      <c r="S68" s="170"/>
      <c r="T68" s="170"/>
      <c r="U68" s="170"/>
      <c r="V68" s="170"/>
      <c r="W68" s="171"/>
    </row>
    <row r="69" spans="9:23" x14ac:dyDescent="0.25">
      <c r="I69" s="169"/>
      <c r="J69" s="170"/>
      <c r="K69" s="170"/>
      <c r="L69" s="170"/>
      <c r="M69" s="170"/>
      <c r="N69" s="171"/>
      <c r="R69" s="169"/>
      <c r="S69" s="170"/>
      <c r="T69" s="170"/>
      <c r="U69" s="170"/>
      <c r="V69" s="170"/>
      <c r="W69" s="171"/>
    </row>
    <row r="70" spans="9:23" x14ac:dyDescent="0.25">
      <c r="I70" s="169"/>
      <c r="J70" s="170"/>
      <c r="K70" s="170"/>
      <c r="L70" s="170"/>
      <c r="M70" s="170"/>
      <c r="N70" s="171"/>
      <c r="R70" s="169"/>
      <c r="S70" s="170"/>
      <c r="T70" s="170"/>
      <c r="U70" s="170"/>
      <c r="V70" s="170"/>
      <c r="W70" s="171"/>
    </row>
    <row r="71" spans="9:23" x14ac:dyDescent="0.25">
      <c r="I71" s="169"/>
      <c r="J71" s="170"/>
      <c r="K71" s="170"/>
      <c r="L71" s="170"/>
      <c r="M71" s="170"/>
      <c r="N71" s="171"/>
      <c r="R71" s="169"/>
      <c r="S71" s="170"/>
      <c r="T71" s="170"/>
      <c r="U71" s="170"/>
      <c r="V71" s="170"/>
      <c r="W71" s="171"/>
    </row>
    <row r="72" spans="9:23" x14ac:dyDescent="0.25">
      <c r="I72" s="169"/>
      <c r="J72" s="170"/>
      <c r="K72" s="170"/>
      <c r="L72" s="170"/>
      <c r="M72" s="170"/>
      <c r="N72" s="171"/>
      <c r="R72" s="169"/>
      <c r="S72" s="170"/>
      <c r="T72" s="170"/>
      <c r="U72" s="170"/>
      <c r="V72" s="170"/>
      <c r="W72" s="171"/>
    </row>
    <row r="73" spans="9:23" x14ac:dyDescent="0.25">
      <c r="I73" s="169"/>
      <c r="J73" s="170"/>
      <c r="K73" s="170"/>
      <c r="L73" s="170"/>
      <c r="M73" s="170"/>
      <c r="N73" s="171"/>
      <c r="R73" s="169"/>
      <c r="S73" s="170"/>
      <c r="T73" s="170"/>
      <c r="U73" s="170"/>
      <c r="V73" s="170"/>
      <c r="W73" s="171"/>
    </row>
    <row r="74" spans="9:23" x14ac:dyDescent="0.25">
      <c r="I74" s="169"/>
      <c r="J74" s="170"/>
      <c r="K74" s="170"/>
      <c r="L74" s="170"/>
      <c r="M74" s="170"/>
      <c r="N74" s="171"/>
      <c r="R74" s="169"/>
      <c r="S74" s="170"/>
      <c r="T74" s="170"/>
      <c r="U74" s="170"/>
      <c r="V74" s="170"/>
      <c r="W74" s="171"/>
    </row>
    <row r="75" spans="9:23" x14ac:dyDescent="0.25">
      <c r="I75" s="169"/>
      <c r="J75" s="170"/>
      <c r="K75" s="170"/>
      <c r="L75" s="170"/>
      <c r="M75" s="170"/>
      <c r="N75" s="171"/>
      <c r="R75" s="169"/>
      <c r="S75" s="170"/>
      <c r="T75" s="170"/>
      <c r="U75" s="170"/>
      <c r="V75" s="170"/>
      <c r="W75" s="171"/>
    </row>
    <row r="76" spans="9:23" x14ac:dyDescent="0.25">
      <c r="I76" s="169"/>
      <c r="J76" s="170"/>
      <c r="K76" s="170"/>
      <c r="L76" s="170"/>
      <c r="M76" s="170"/>
      <c r="N76" s="171"/>
      <c r="R76" s="169"/>
      <c r="S76" s="170"/>
      <c r="T76" s="170"/>
      <c r="U76" s="170"/>
      <c r="V76" s="170"/>
      <c r="W76" s="171"/>
    </row>
    <row r="77" spans="9:23" x14ac:dyDescent="0.25">
      <c r="I77" s="169"/>
      <c r="J77" s="170"/>
      <c r="K77" s="170"/>
      <c r="L77" s="170"/>
      <c r="M77" s="170"/>
      <c r="N77" s="171"/>
      <c r="R77" s="169"/>
      <c r="S77" s="170"/>
      <c r="T77" s="170"/>
      <c r="U77" s="170"/>
      <c r="V77" s="170"/>
      <c r="W77" s="171"/>
    </row>
    <row r="78" spans="9:23" x14ac:dyDescent="0.25">
      <c r="I78" s="169"/>
      <c r="J78" s="170"/>
      <c r="K78" s="170"/>
      <c r="L78" s="170"/>
      <c r="M78" s="170"/>
      <c r="N78" s="171"/>
      <c r="R78" s="169"/>
      <c r="S78" s="170"/>
      <c r="T78" s="170"/>
      <c r="U78" s="170"/>
      <c r="V78" s="170"/>
      <c r="W78" s="171"/>
    </row>
    <row r="79" spans="9:23" x14ac:dyDescent="0.25">
      <c r="I79" s="169"/>
      <c r="J79" s="170"/>
      <c r="K79" s="170"/>
      <c r="L79" s="170"/>
      <c r="M79" s="170"/>
      <c r="N79" s="171"/>
      <c r="R79" s="169"/>
      <c r="S79" s="170"/>
      <c r="T79" s="170"/>
      <c r="U79" s="170"/>
      <c r="V79" s="170"/>
      <c r="W79" s="171"/>
    </row>
    <row r="80" spans="9:23" x14ac:dyDescent="0.25">
      <c r="I80" s="169"/>
      <c r="J80" s="170"/>
      <c r="K80" s="170"/>
      <c r="L80" s="170"/>
      <c r="M80" s="170"/>
      <c r="N80" s="171"/>
      <c r="R80" s="169"/>
      <c r="S80" s="170"/>
      <c r="T80" s="170"/>
      <c r="U80" s="170"/>
      <c r="V80" s="170"/>
      <c r="W80" s="171"/>
    </row>
    <row r="81" spans="9:23" x14ac:dyDescent="0.25">
      <c r="I81" s="169"/>
      <c r="J81" s="170"/>
      <c r="K81" s="170"/>
      <c r="L81" s="170"/>
      <c r="M81" s="170"/>
      <c r="N81" s="171"/>
      <c r="R81" s="169"/>
      <c r="S81" s="170"/>
      <c r="T81" s="170"/>
      <c r="U81" s="170"/>
      <c r="V81" s="170"/>
      <c r="W81" s="171"/>
    </row>
    <row r="82" spans="9:23" x14ac:dyDescent="0.25">
      <c r="I82" s="169"/>
      <c r="J82" s="170"/>
      <c r="K82" s="170"/>
      <c r="L82" s="170"/>
      <c r="M82" s="170"/>
      <c r="N82" s="171"/>
      <c r="R82" s="169"/>
      <c r="S82" s="170"/>
      <c r="T82" s="170"/>
      <c r="U82" s="170"/>
      <c r="V82" s="170"/>
      <c r="W82" s="171"/>
    </row>
    <row r="83" spans="9:23" x14ac:dyDescent="0.25">
      <c r="I83" s="169"/>
      <c r="J83" s="170"/>
      <c r="K83" s="170"/>
      <c r="L83" s="170"/>
      <c r="M83" s="170"/>
      <c r="N83" s="171"/>
      <c r="R83" s="169"/>
      <c r="S83" s="170"/>
      <c r="T83" s="170"/>
      <c r="U83" s="170"/>
      <c r="V83" s="170"/>
      <c r="W83" s="171"/>
    </row>
    <row r="84" spans="9:23" x14ac:dyDescent="0.25">
      <c r="I84" s="169"/>
      <c r="J84" s="170"/>
      <c r="K84" s="170"/>
      <c r="L84" s="170"/>
      <c r="M84" s="170"/>
      <c r="N84" s="171"/>
      <c r="R84" s="169"/>
      <c r="S84" s="170"/>
      <c r="T84" s="170"/>
      <c r="U84" s="170"/>
      <c r="V84" s="170"/>
      <c r="W84" s="171"/>
    </row>
    <row r="85" spans="9:23" x14ac:dyDescent="0.25">
      <c r="I85" s="169"/>
      <c r="J85" s="170"/>
      <c r="K85" s="170"/>
      <c r="L85" s="170"/>
      <c r="M85" s="170"/>
      <c r="N85" s="171"/>
      <c r="R85" s="169"/>
      <c r="S85" s="170"/>
      <c r="T85" s="170"/>
      <c r="U85" s="170"/>
      <c r="V85" s="170"/>
      <c r="W85" s="171"/>
    </row>
    <row r="86" spans="9:23" x14ac:dyDescent="0.25">
      <c r="I86" s="169"/>
      <c r="J86" s="170"/>
      <c r="K86" s="170"/>
      <c r="L86" s="170"/>
      <c r="M86" s="170"/>
      <c r="N86" s="171"/>
      <c r="R86" s="169"/>
      <c r="S86" s="170"/>
      <c r="T86" s="170"/>
      <c r="U86" s="170"/>
      <c r="V86" s="170"/>
      <c r="W86" s="171"/>
    </row>
    <row r="87" spans="9:23" x14ac:dyDescent="0.25">
      <c r="I87" s="169"/>
      <c r="J87" s="170"/>
      <c r="K87" s="170"/>
      <c r="L87" s="170"/>
      <c r="M87" s="170"/>
      <c r="N87" s="171"/>
      <c r="R87" s="169"/>
      <c r="S87" s="170"/>
      <c r="T87" s="170"/>
      <c r="U87" s="170"/>
      <c r="V87" s="170"/>
      <c r="W87" s="171"/>
    </row>
    <row r="88" spans="9:23" x14ac:dyDescent="0.25">
      <c r="I88" s="169"/>
      <c r="J88" s="170"/>
      <c r="K88" s="170"/>
      <c r="L88" s="170"/>
      <c r="M88" s="170"/>
      <c r="N88" s="171"/>
      <c r="R88" s="169"/>
      <c r="S88" s="170"/>
      <c r="T88" s="170"/>
      <c r="U88" s="170"/>
      <c r="V88" s="170"/>
      <c r="W88" s="171"/>
    </row>
    <row r="89" spans="9:23" x14ac:dyDescent="0.25">
      <c r="I89" s="169"/>
      <c r="J89" s="170"/>
      <c r="K89" s="170"/>
      <c r="L89" s="170"/>
      <c r="M89" s="170"/>
      <c r="N89" s="171"/>
      <c r="R89" s="169"/>
      <c r="S89" s="170"/>
      <c r="T89" s="170"/>
      <c r="U89" s="170"/>
      <c r="V89" s="170"/>
      <c r="W89" s="171"/>
    </row>
    <row r="90" spans="9:23" x14ac:dyDescent="0.25">
      <c r="I90" s="169"/>
      <c r="J90" s="170"/>
      <c r="K90" s="170"/>
      <c r="L90" s="170"/>
      <c r="M90" s="170"/>
      <c r="N90" s="171"/>
      <c r="R90" s="169"/>
      <c r="S90" s="170"/>
      <c r="T90" s="170"/>
      <c r="U90" s="170"/>
      <c r="V90" s="170"/>
      <c r="W90" s="171"/>
    </row>
    <row r="91" spans="9:23" x14ac:dyDescent="0.25">
      <c r="I91" s="169"/>
      <c r="J91" s="170"/>
      <c r="K91" s="170"/>
      <c r="L91" s="170"/>
      <c r="M91" s="170"/>
      <c r="N91" s="171"/>
      <c r="R91" s="169"/>
      <c r="S91" s="170"/>
      <c r="T91" s="170"/>
      <c r="U91" s="170"/>
      <c r="V91" s="170"/>
      <c r="W91" s="171"/>
    </row>
    <row r="92" spans="9:23" x14ac:dyDescent="0.25">
      <c r="I92" s="169"/>
      <c r="J92" s="170"/>
      <c r="K92" s="170"/>
      <c r="L92" s="170"/>
      <c r="M92" s="170"/>
      <c r="N92" s="171"/>
      <c r="R92" s="169"/>
      <c r="S92" s="170"/>
      <c r="T92" s="170"/>
      <c r="U92" s="170"/>
      <c r="V92" s="170"/>
      <c r="W92" s="171"/>
    </row>
    <row r="93" spans="9:23" x14ac:dyDescent="0.25">
      <c r="I93" s="169"/>
      <c r="J93" s="170"/>
      <c r="K93" s="170"/>
      <c r="L93" s="170"/>
      <c r="M93" s="170"/>
      <c r="N93" s="171"/>
      <c r="R93" s="169"/>
      <c r="S93" s="170"/>
      <c r="T93" s="170"/>
      <c r="U93" s="170"/>
      <c r="V93" s="170"/>
      <c r="W93" s="171"/>
    </row>
    <row r="94" spans="9:23" x14ac:dyDescent="0.25">
      <c r="I94" s="169"/>
      <c r="J94" s="170"/>
      <c r="K94" s="170"/>
      <c r="L94" s="170"/>
      <c r="M94" s="170"/>
      <c r="N94" s="171"/>
      <c r="R94" s="169"/>
      <c r="S94" s="170"/>
      <c r="T94" s="170"/>
      <c r="U94" s="170"/>
      <c r="V94" s="170"/>
      <c r="W94" s="171"/>
    </row>
    <row r="95" spans="9:23" x14ac:dyDescent="0.25">
      <c r="I95" s="169"/>
      <c r="J95" s="170"/>
      <c r="K95" s="170"/>
      <c r="L95" s="170"/>
      <c r="M95" s="170"/>
      <c r="N95" s="171"/>
      <c r="R95" s="169"/>
      <c r="S95" s="170"/>
      <c r="T95" s="170"/>
      <c r="U95" s="170"/>
      <c r="V95" s="170"/>
      <c r="W95" s="171"/>
    </row>
    <row r="96" spans="9:23" x14ac:dyDescent="0.25">
      <c r="I96" s="169"/>
      <c r="J96" s="170"/>
      <c r="K96" s="170"/>
      <c r="L96" s="170"/>
      <c r="M96" s="170"/>
      <c r="N96" s="171"/>
      <c r="R96" s="169"/>
      <c r="S96" s="170"/>
      <c r="T96" s="170"/>
      <c r="U96" s="170"/>
      <c r="V96" s="170"/>
      <c r="W96" s="171"/>
    </row>
    <row r="97" spans="9:23" x14ac:dyDescent="0.25">
      <c r="I97" s="169"/>
      <c r="J97" s="170"/>
      <c r="K97" s="170"/>
      <c r="L97" s="170"/>
      <c r="M97" s="170"/>
      <c r="N97" s="171"/>
      <c r="R97" s="169"/>
      <c r="S97" s="170"/>
      <c r="T97" s="170"/>
      <c r="U97" s="170"/>
      <c r="V97" s="170"/>
      <c r="W97" s="171"/>
    </row>
    <row r="98" spans="9:23" x14ac:dyDescent="0.25">
      <c r="I98" s="169"/>
      <c r="J98" s="170"/>
      <c r="K98" s="170"/>
      <c r="L98" s="170"/>
      <c r="M98" s="170"/>
      <c r="N98" s="171"/>
      <c r="R98" s="169"/>
      <c r="S98" s="170"/>
      <c r="T98" s="170"/>
      <c r="U98" s="170"/>
      <c r="V98" s="170"/>
      <c r="W98" s="171"/>
    </row>
    <row r="99" spans="9:23" x14ac:dyDescent="0.25">
      <c r="I99" s="169"/>
      <c r="J99" s="170"/>
      <c r="K99" s="170"/>
      <c r="L99" s="170"/>
      <c r="M99" s="170"/>
      <c r="N99" s="171"/>
      <c r="R99" s="169"/>
      <c r="S99" s="170"/>
      <c r="T99" s="170"/>
      <c r="U99" s="170"/>
      <c r="V99" s="170"/>
      <c r="W99" s="171"/>
    </row>
    <row r="100" spans="9:23" x14ac:dyDescent="0.25">
      <c r="I100" s="169"/>
      <c r="J100" s="170"/>
      <c r="K100" s="170"/>
      <c r="L100" s="170"/>
      <c r="M100" s="170"/>
      <c r="N100" s="171"/>
      <c r="R100" s="169"/>
      <c r="S100" s="170"/>
      <c r="T100" s="170"/>
      <c r="U100" s="170"/>
      <c r="V100" s="170"/>
      <c r="W100" s="171"/>
    </row>
    <row r="101" spans="9:23" ht="15.75" thickBot="1" x14ac:dyDescent="0.3">
      <c r="I101" s="172"/>
      <c r="J101" s="173"/>
      <c r="K101" s="173"/>
      <c r="L101" s="173"/>
      <c r="M101" s="173"/>
      <c r="N101" s="174"/>
      <c r="R101" s="172"/>
      <c r="S101" s="173"/>
      <c r="T101" s="173"/>
      <c r="U101" s="173"/>
      <c r="V101" s="173"/>
      <c r="W101" s="174"/>
    </row>
  </sheetData>
  <mergeCells count="5">
    <mergeCell ref="R2:W2"/>
    <mergeCell ref="B23:C23"/>
    <mergeCell ref="D23:G23"/>
    <mergeCell ref="O15:P15"/>
    <mergeCell ref="I2:N2"/>
  </mergeCells>
  <dataValidations count="1">
    <dataValidation type="list" allowBlank="1" showInputMessage="1" showErrorMessage="1" sqref="D23:G23">
      <formula1>$O$16:$O$36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FRONT PAGE</vt:lpstr>
      <vt:lpstr>MCARE A</vt:lpstr>
      <vt:lpstr>MCARE B</vt:lpstr>
      <vt:lpstr>OTHER</vt:lpstr>
      <vt:lpstr>FORMULAS</vt:lpstr>
      <vt:lpstr>Commands</vt:lpstr>
      <vt:lpstr>MonthYear</vt:lpstr>
      <vt:lpstr>'FRONT PAGE'!Print_Area</vt:lpstr>
      <vt:lpstr>'MCARE A'!Print_Area</vt:lpstr>
      <vt:lpstr>'MCARE B'!Print_Area</vt:lpstr>
      <vt:lpstr>OTHER!Print_Area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Blaine, John</dc:creator>
  <cp:lastModifiedBy>Blaine, John</cp:lastModifiedBy>
  <dcterms:created xsi:type="dcterms:W3CDTF">2006-09-16T00:00:00Z</dcterms:created>
  <dcterms:modified xsi:type="dcterms:W3CDTF">2017-01-31T18:53:11Z</dcterms:modified>
</cp:coreProperties>
</file>