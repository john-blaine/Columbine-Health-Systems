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050" yWindow="360" windowWidth="19965" windowHeight="10005"/>
  </bookViews>
  <sheets>
    <sheet name="Commands" sheetId="26" r:id="rId1"/>
    <sheet name="Sheet1" sheetId="24" state="hidden" r:id="rId2"/>
  </sheets>
  <externalReferences>
    <externalReference r:id="rId3"/>
  </externalReferences>
  <definedNames>
    <definedName name="Column2EndAF">Sheet1!$AF$12</definedName>
    <definedName name="Column2StartAA" localSheetId="0">Sheet1!$AA$14</definedName>
    <definedName name="Column2StartAA">Sheet1!$AA$14</definedName>
    <definedName name="Column2StartAB" localSheetId="0">Sheet1!$AB$14</definedName>
    <definedName name="Column2StartAB">Sheet1!$AB$14</definedName>
    <definedName name="Column2StartAC" localSheetId="0">Sheet1!$AC$14</definedName>
    <definedName name="Column2StartAC">Sheet1!$AC$14</definedName>
    <definedName name="Column2StartAD" localSheetId="0">Sheet1!$AD$14</definedName>
    <definedName name="Column2StartAD">Sheet1!$AD$14</definedName>
    <definedName name="Column2StartAE" localSheetId="0">Sheet1!$AE$14</definedName>
    <definedName name="Column2StartAE">Sheet1!$AE$14</definedName>
    <definedName name="Column2StartAF" localSheetId="0">Sheet1!$AF$14</definedName>
    <definedName name="Column2StartAF">Sheet1!$AF$14</definedName>
    <definedName name="Column2StartB" localSheetId="0">Sheet1!$B$14</definedName>
    <definedName name="Column2StartB">Sheet1!$B$14</definedName>
    <definedName name="Column2StartC" localSheetId="0">Sheet1!$C$14</definedName>
    <definedName name="Column2StartC">Sheet1!$C$14</definedName>
    <definedName name="Column2StartD" localSheetId="0">Sheet1!$D$14</definedName>
    <definedName name="Column2StartD">Sheet1!$D$14</definedName>
    <definedName name="Column2StartE" localSheetId="0">Sheet1!$E$14</definedName>
    <definedName name="Column2StartE">Sheet1!$E$14</definedName>
    <definedName name="Column2StartF" localSheetId="0">Sheet1!$F$14</definedName>
    <definedName name="Column2StartF">Sheet1!$F$14</definedName>
    <definedName name="Column2StartG" localSheetId="0">Sheet1!$G$14</definedName>
    <definedName name="Column2StartG">Sheet1!$G$14</definedName>
    <definedName name="Column2StartH" localSheetId="0">Sheet1!$H$14</definedName>
    <definedName name="Column2StartH">Sheet1!$H$14</definedName>
    <definedName name="Column2StartI" localSheetId="0">Sheet1!$I$14</definedName>
    <definedName name="Column2StartI">Sheet1!$I$14</definedName>
    <definedName name="Column2StartJ" localSheetId="0">Sheet1!$J$14</definedName>
    <definedName name="Column2StartJ">Sheet1!$J$14</definedName>
    <definedName name="Column2StartK" localSheetId="0">Sheet1!$K$14</definedName>
    <definedName name="Column2StartK">Sheet1!$K$14</definedName>
    <definedName name="Column2StartL" localSheetId="0">Sheet1!$L$14</definedName>
    <definedName name="Column2StartL">Sheet1!$L$14</definedName>
    <definedName name="Column2StartM" localSheetId="0">Sheet1!$M$14</definedName>
    <definedName name="Column2StartM">Sheet1!$M$14</definedName>
    <definedName name="Column2StartN" localSheetId="0">Sheet1!$N$14</definedName>
    <definedName name="Column2StartN">Sheet1!$N$14</definedName>
    <definedName name="Column2StartO" localSheetId="0">Sheet1!$O$14</definedName>
    <definedName name="Column2StartO">Sheet1!$O$14</definedName>
    <definedName name="Column2StartP" localSheetId="0">Sheet1!$P$14</definedName>
    <definedName name="Column2StartP">Sheet1!$P$14</definedName>
    <definedName name="Column2StartQ" localSheetId="0">Sheet1!$Q$14</definedName>
    <definedName name="Column2StartQ">Sheet1!$Q$14</definedName>
    <definedName name="Column2StartR" localSheetId="0">Sheet1!$R$14</definedName>
    <definedName name="Column2StartR">Sheet1!$R$14</definedName>
    <definedName name="Column2StartS" localSheetId="0">Sheet1!$S$14</definedName>
    <definedName name="Column2StartS">Sheet1!$S$14</definedName>
    <definedName name="Column2StartT" localSheetId="0">Sheet1!$T$14</definedName>
    <definedName name="Column2StartT">Sheet1!$T$14</definedName>
    <definedName name="Column2StartU" localSheetId="0">Sheet1!$U$14</definedName>
    <definedName name="Column2StartU">Sheet1!$U$14</definedName>
    <definedName name="Column2StartV" localSheetId="0">Sheet1!$V$14</definedName>
    <definedName name="Column2StartV">Sheet1!$V$14</definedName>
    <definedName name="Column2StartW" localSheetId="0">Sheet1!$W$14</definedName>
    <definedName name="Column2StartW">Sheet1!$W$14</definedName>
    <definedName name="Column2StartX" localSheetId="0">Sheet1!$X$14</definedName>
    <definedName name="Column2StartX">Sheet1!$X$14</definedName>
    <definedName name="Column2StartY" localSheetId="0">Sheet1!$Y$14</definedName>
    <definedName name="Column2StartY">Sheet1!$Y$14</definedName>
    <definedName name="Column2StartZ" localSheetId="0">Sheet1!$Z$14</definedName>
    <definedName name="Column2StartZ">Sheet1!$Z$14</definedName>
    <definedName name="Column3EndAA" localSheetId="0">Sheet1!$AA$16</definedName>
    <definedName name="Column3EndAA">Sheet1!$AA$16</definedName>
    <definedName name="Column3EndAB" localSheetId="0">Sheet1!$AB$16</definedName>
    <definedName name="Column3EndAB">Sheet1!$AB$16</definedName>
    <definedName name="Column3EndAC" localSheetId="0">Sheet1!$AC$16</definedName>
    <definedName name="Column3EndAC">Sheet1!$AC$16</definedName>
    <definedName name="Column3EndAD" localSheetId="0">Sheet1!$AD$16</definedName>
    <definedName name="Column3EndAD">Sheet1!$AD$16</definedName>
    <definedName name="Column3EndAE" localSheetId="0">Sheet1!$AE$16</definedName>
    <definedName name="Column3EndAE">Sheet1!$AE$16</definedName>
    <definedName name="Column3EndAF" localSheetId="0">Sheet1!$AF$16</definedName>
    <definedName name="Column3EndAF">Sheet1!$AF$16</definedName>
    <definedName name="Column3EndB" localSheetId="0">Sheet1!$B$16</definedName>
    <definedName name="Column3EndB">Sheet1!$B$16</definedName>
    <definedName name="Column3EndC" localSheetId="0">Sheet1!$C$16</definedName>
    <definedName name="Column3EndC">Sheet1!$C$16</definedName>
    <definedName name="Column3EndD" localSheetId="0">Sheet1!$D$16</definedName>
    <definedName name="Column3EndD">Sheet1!$D$16</definedName>
    <definedName name="Column3EndE" localSheetId="0">Sheet1!$E$16</definedName>
    <definedName name="Column3EndE">Sheet1!$E$16</definedName>
    <definedName name="Column3EndF" localSheetId="0">Sheet1!$F$16</definedName>
    <definedName name="Column3EndF">Sheet1!$F$16</definedName>
    <definedName name="Column3EndG" localSheetId="0">Sheet1!$G$16</definedName>
    <definedName name="Column3EndG">Sheet1!$G$16</definedName>
    <definedName name="Column3EndH" localSheetId="0">Sheet1!$H$16</definedName>
    <definedName name="Column3EndH">Sheet1!$H$16</definedName>
    <definedName name="Column3EndI" localSheetId="0">Sheet1!$I$16</definedName>
    <definedName name="Column3EndI">Sheet1!$I$16</definedName>
    <definedName name="Column3EndJ" localSheetId="0">Sheet1!$J$16</definedName>
    <definedName name="Column3EndJ">Sheet1!$J$16</definedName>
    <definedName name="Column3EndK" localSheetId="0">Sheet1!$K$16</definedName>
    <definedName name="Column3EndK">Sheet1!$K$16</definedName>
    <definedName name="Column3EndL" localSheetId="0">Sheet1!$L$16</definedName>
    <definedName name="Column3EndL">Sheet1!$L$16</definedName>
    <definedName name="Column3EndM" localSheetId="0">Sheet1!$M$16</definedName>
    <definedName name="Column3EndM">Sheet1!$M$16</definedName>
    <definedName name="Column3EndN" localSheetId="0">Sheet1!$N$16</definedName>
    <definedName name="Column3EndN">Sheet1!$N$16</definedName>
    <definedName name="Column3EndO" localSheetId="0">Sheet1!$O$16</definedName>
    <definedName name="Column3EndO">Sheet1!$O$16</definedName>
    <definedName name="Column3EndP" localSheetId="0">Sheet1!$P$16</definedName>
    <definedName name="Column3EndP">Sheet1!$P$16</definedName>
    <definedName name="Column3EndQ" localSheetId="0">Sheet1!$Q$16</definedName>
    <definedName name="Column3EndQ">Sheet1!$Q$16</definedName>
    <definedName name="Column3EndR" localSheetId="0">Sheet1!$R$16</definedName>
    <definedName name="Column3EndR">Sheet1!$R$16</definedName>
    <definedName name="Column3EndS" localSheetId="0">Sheet1!$S$16</definedName>
    <definedName name="Column3EndS">Sheet1!$S$16</definedName>
    <definedName name="Column3EndT" localSheetId="0">Sheet1!$T$16</definedName>
    <definedName name="Column3EndT">Sheet1!$T$16</definedName>
    <definedName name="Column3EndU" localSheetId="0">Sheet1!$U$16</definedName>
    <definedName name="Column3EndU">Sheet1!$U$16</definedName>
    <definedName name="Column3EndV" localSheetId="0">Sheet1!$V$16</definedName>
    <definedName name="Column3EndV">Sheet1!$V$16</definedName>
    <definedName name="Column3EndW" localSheetId="0">Sheet1!$W$16</definedName>
    <definedName name="Column3EndW">Sheet1!$W$16</definedName>
    <definedName name="Column3EndX" localSheetId="0">Sheet1!$X$16</definedName>
    <definedName name="Column3EndX">Sheet1!$X$16</definedName>
    <definedName name="Column3EndY" localSheetId="0">Sheet1!$Y$16</definedName>
    <definedName name="Column3EndY">Sheet1!$Y$16</definedName>
    <definedName name="Column3EndZ" localSheetId="0">Sheet1!$Z$16</definedName>
    <definedName name="Column3EndZ">Sheet1!$Z$16</definedName>
    <definedName name="Column3StartAA" localSheetId="0">Sheet1!$AA$18</definedName>
    <definedName name="Column3StartAA">Sheet1!$AA$18</definedName>
    <definedName name="Column3StartAB" localSheetId="0">Sheet1!$AB$18</definedName>
    <definedName name="Column3StartAB">Sheet1!$AB$18</definedName>
    <definedName name="Column3StartAC" localSheetId="0">Sheet1!$AC$18</definedName>
    <definedName name="Column3StartAC">Sheet1!$AC$18</definedName>
    <definedName name="Column3StartAD" localSheetId="0">Sheet1!$AD$18</definedName>
    <definedName name="Column3StartAD">Sheet1!$AD$18</definedName>
    <definedName name="Column3StartAE" localSheetId="0">Sheet1!$AE$18</definedName>
    <definedName name="Column3StartAE">Sheet1!$AE$18</definedName>
    <definedName name="Column3StartAF" localSheetId="0">Sheet1!$AF$18</definedName>
    <definedName name="Column3StartAF">Sheet1!$AF$18</definedName>
    <definedName name="Column3StartB" localSheetId="0">Sheet1!$B$18</definedName>
    <definedName name="Column3StartB">Sheet1!$B$18</definedName>
    <definedName name="Column3StartC" localSheetId="0">Sheet1!$C$18</definedName>
    <definedName name="Column3StartC">Sheet1!$C$18</definedName>
    <definedName name="Column3StartD" localSheetId="0">Sheet1!$D$18</definedName>
    <definedName name="Column3StartD">Sheet1!$D$18</definedName>
    <definedName name="Column3StartE" localSheetId="0">Sheet1!$E$18</definedName>
    <definedName name="Column3StartE">Sheet1!$E$18</definedName>
    <definedName name="Column3StartF" localSheetId="0">Sheet1!$F$18</definedName>
    <definedName name="Column3StartF">Sheet1!$F$18</definedName>
    <definedName name="Column3StartG" localSheetId="0">Sheet1!$G$18</definedName>
    <definedName name="Column3StartG">Sheet1!$G$18</definedName>
    <definedName name="Column3StartH" localSheetId="0">Sheet1!$H$18</definedName>
    <definedName name="Column3StartH">Sheet1!$H$18</definedName>
    <definedName name="Column3StartI" localSheetId="0">Sheet1!$I$18</definedName>
    <definedName name="Column3StartI">Sheet1!$I$18</definedName>
    <definedName name="Column3StartJ" localSheetId="0">Sheet1!$J$18</definedName>
    <definedName name="Column3StartJ">Sheet1!$J$18</definedName>
    <definedName name="Column3StartK" localSheetId="0">Sheet1!$K$18</definedName>
    <definedName name="Column3StartK">Sheet1!$K$18</definedName>
    <definedName name="Column3StartL" localSheetId="0">Sheet1!$L$18</definedName>
    <definedName name="Column3StartL">Sheet1!$L$18</definedName>
    <definedName name="Column3StartM" localSheetId="0">Sheet1!$M$18</definedName>
    <definedName name="Column3StartM">Sheet1!$M$18</definedName>
    <definedName name="Column3StartN" localSheetId="0">Sheet1!$N$18</definedName>
    <definedName name="Column3StartN">Sheet1!$N$18</definedName>
    <definedName name="Column3StartO" localSheetId="0">Sheet1!$O$18</definedName>
    <definedName name="Column3StartO">Sheet1!$O$18</definedName>
    <definedName name="Column3StartP" localSheetId="0">Sheet1!$P$18</definedName>
    <definedName name="Column3StartP">Sheet1!$P$18</definedName>
    <definedName name="Column3StartQ" localSheetId="0">Sheet1!$Q$18</definedName>
    <definedName name="Column3StartQ">Sheet1!$Q$18</definedName>
    <definedName name="Column3StartR" localSheetId="0">Sheet1!$R$18</definedName>
    <definedName name="Column3StartR">Sheet1!$R$18</definedName>
    <definedName name="Column3StartS" localSheetId="0">Sheet1!$S$18</definedName>
    <definedName name="Column3StartS">Sheet1!$S$18</definedName>
    <definedName name="Column3StartT" localSheetId="0">Sheet1!$T$18</definedName>
    <definedName name="Column3StartT">Sheet1!$T$18</definedName>
    <definedName name="Column3StartU" localSheetId="0">Sheet1!$U$18</definedName>
    <definedName name="Column3StartU">Sheet1!$U$18</definedName>
    <definedName name="Column3StartV" localSheetId="0">Sheet1!$V$18</definedName>
    <definedName name="Column3StartV">Sheet1!$V$18</definedName>
    <definedName name="Column3StartW" localSheetId="0">Sheet1!$W$18</definedName>
    <definedName name="Column3StartW">Sheet1!$W$18</definedName>
    <definedName name="Column3StartX" localSheetId="0">Sheet1!$X$18</definedName>
    <definedName name="Column3StartX">Sheet1!$X$18</definedName>
    <definedName name="Column3StartY" localSheetId="0">Sheet1!$Y$18</definedName>
    <definedName name="Column3StartY">Sheet1!$Y$18</definedName>
    <definedName name="Column3StartZ" localSheetId="0">Sheet1!$Z$18</definedName>
    <definedName name="Column3StartZ">Sheet1!$Z$18</definedName>
    <definedName name="Column4EndAA">[1]Sheet1!$AA$13</definedName>
    <definedName name="Column4EndAB">[1]Sheet1!$AB$13</definedName>
    <definedName name="Column4EndAC">[1]Sheet1!$AC$13</definedName>
    <definedName name="Column4EndAD">[1]Sheet1!$AD$13</definedName>
    <definedName name="Column4EndAE">[1]Sheet1!$AE$13</definedName>
    <definedName name="Column4EndAF">[1]Sheet1!$AF$13</definedName>
    <definedName name="Column4EndB">[1]Sheet1!$B$13</definedName>
    <definedName name="Column4EndC">[1]Sheet1!$C$13</definedName>
    <definedName name="Column4EndD">[1]Sheet1!$D$13</definedName>
    <definedName name="Column4EndE">[1]Sheet1!$E$13</definedName>
    <definedName name="Column4EndF">[1]Sheet1!$F$13</definedName>
    <definedName name="Column4EndG">[1]Sheet1!$G$13</definedName>
    <definedName name="Column4EndH">[1]Sheet1!$H$13</definedName>
    <definedName name="Column4EndI">[1]Sheet1!$I$13</definedName>
    <definedName name="Column4EndJ">[1]Sheet1!$J$13</definedName>
    <definedName name="Column4EndK">[1]Sheet1!$K$13</definedName>
    <definedName name="Column4EndL">[1]Sheet1!$L$13</definedName>
    <definedName name="Column4EndM">[1]Sheet1!$M$13</definedName>
    <definedName name="Column4EndN">[1]Sheet1!$N$13</definedName>
    <definedName name="Column4EndO">[1]Sheet1!$O$13</definedName>
    <definedName name="Column4EndP">[1]Sheet1!$P$13</definedName>
    <definedName name="Column4EndQ">[1]Sheet1!$Q$13</definedName>
    <definedName name="Column4EndR">[1]Sheet1!$R$13</definedName>
    <definedName name="Column4EndS">[1]Sheet1!$S$13</definedName>
    <definedName name="Column4EndT">[1]Sheet1!$T$13</definedName>
    <definedName name="Column4EndU">[1]Sheet1!$U$13</definedName>
    <definedName name="Column4EndV">[1]Sheet1!$V$13</definedName>
    <definedName name="Column4EndW">[1]Sheet1!$W$13</definedName>
    <definedName name="Column4EndX">[1]Sheet1!$X$13</definedName>
    <definedName name="Column4EndY">[1]Sheet1!$Y$13</definedName>
    <definedName name="Column4EndZ">[1]Sheet1!$Z$13</definedName>
    <definedName name="ColumnEndAA" localSheetId="0">Sheet1!$AA$27</definedName>
    <definedName name="ColumnEndAA">Sheet1!$AA$27</definedName>
    <definedName name="ColumnEndAB" localSheetId="0">Sheet1!$AB$27</definedName>
    <definedName name="ColumnEndAB">Sheet1!$AB$27</definedName>
    <definedName name="ColumnEndAC" localSheetId="0">Sheet1!$AC$27</definedName>
    <definedName name="ColumnEndAC">Sheet1!$AC$27</definedName>
    <definedName name="ColumnEndAD" localSheetId="0">Sheet1!$AD$27</definedName>
    <definedName name="ColumnEndAD">Sheet1!$AD$27</definedName>
    <definedName name="ColumnEndAE" localSheetId="0">Sheet1!$AE$27</definedName>
    <definedName name="ColumnEndAE">Sheet1!$AE$27</definedName>
    <definedName name="ColumnEndAF" localSheetId="0">Sheet1!$AF$27</definedName>
    <definedName name="ColumnEndAF">Sheet1!$AF$27</definedName>
    <definedName name="ColumnEndB" localSheetId="0">Sheet1!$B$27</definedName>
    <definedName name="ColumnEndB">Sheet1!$B$27</definedName>
    <definedName name="ColumnEndC" localSheetId="0">Sheet1!$C$27</definedName>
    <definedName name="ColumnEndC">Sheet1!$C$27</definedName>
    <definedName name="ColumnEndD" localSheetId="0">Sheet1!$D$27</definedName>
    <definedName name="ColumnEndD">Sheet1!$D$27</definedName>
    <definedName name="ColumnEndE" localSheetId="0">Sheet1!$E$27</definedName>
    <definedName name="ColumnEndE">Sheet1!$E$27</definedName>
    <definedName name="ColumnEndF" localSheetId="0">Sheet1!$F$27</definedName>
    <definedName name="ColumnEndF">Sheet1!$F$27</definedName>
    <definedName name="ColumnEndG" localSheetId="0">Sheet1!$G$27</definedName>
    <definedName name="ColumnEndG">Sheet1!$G$27</definedName>
    <definedName name="ColumnEndH" localSheetId="0">Sheet1!$H$27</definedName>
    <definedName name="ColumnEndH">Sheet1!$H$27</definedName>
    <definedName name="ColumnEndI" localSheetId="0">Sheet1!$I$27</definedName>
    <definedName name="ColumnEndI">Sheet1!$I$27</definedName>
    <definedName name="ColumnEndJ" localSheetId="0">Sheet1!$J$27</definedName>
    <definedName name="ColumnEndJ">Sheet1!$J$27</definedName>
    <definedName name="ColumnEndK" localSheetId="0">Sheet1!$K$27</definedName>
    <definedName name="ColumnEndK">Sheet1!$K$27</definedName>
    <definedName name="ColumnEndL" localSheetId="0">Sheet1!$L$27</definedName>
    <definedName name="ColumnEndL">Sheet1!$L$27</definedName>
    <definedName name="ColumnEndM" localSheetId="0">Sheet1!$M$27</definedName>
    <definedName name="ColumnEndM">Sheet1!$M$27</definedName>
    <definedName name="ColumnEndN" localSheetId="0">Sheet1!$N$27</definedName>
    <definedName name="ColumnEndN">Sheet1!$N$27</definedName>
    <definedName name="ColumnEndO" localSheetId="0">Sheet1!$O$27</definedName>
    <definedName name="ColumnEndO">Sheet1!$O$27</definedName>
    <definedName name="ColumnEndP" localSheetId="0">Sheet1!$P$27</definedName>
    <definedName name="ColumnEndP">Sheet1!$P$27</definedName>
    <definedName name="ColumnEndQ" localSheetId="0">Sheet1!$Q$27</definedName>
    <definedName name="ColumnEndQ">Sheet1!$Q$27</definedName>
    <definedName name="ColumnEndR" localSheetId="0">Sheet1!$R$27</definedName>
    <definedName name="ColumnEndR">Sheet1!$R$27</definedName>
    <definedName name="ColumnEndS" localSheetId="0">Sheet1!$S$27</definedName>
    <definedName name="ColumnEndS">Sheet1!$S$27</definedName>
    <definedName name="ColumnEndT" localSheetId="0">Sheet1!$T$27</definedName>
    <definedName name="ColumnEndT">Sheet1!$T$27</definedName>
    <definedName name="ColumnEndU" localSheetId="0">Sheet1!$U$27</definedName>
    <definedName name="ColumnEndU">Sheet1!$U$27</definedName>
    <definedName name="ColumnEndV" localSheetId="0">Sheet1!$V$27</definedName>
    <definedName name="ColumnEndV">Sheet1!$V$27</definedName>
    <definedName name="ColumnEndW" localSheetId="0">Sheet1!$W$27</definedName>
    <definedName name="ColumnEndW">Sheet1!$W$27</definedName>
    <definedName name="ColumnEndX" localSheetId="0">Sheet1!$X$27</definedName>
    <definedName name="ColumnEndX">Sheet1!$X$27</definedName>
    <definedName name="ColumnEndY" localSheetId="0">Sheet1!$Y$27</definedName>
    <definedName name="ColumnEndY">Sheet1!$Y$27</definedName>
    <definedName name="ColumnEndZ" localSheetId="0">Sheet1!$Z$27</definedName>
    <definedName name="ColumnEndZ">Sheet1!$Z$27</definedName>
    <definedName name="ColumnStartAA" localSheetId="0">Sheet1!$AA$9</definedName>
    <definedName name="ColumnStartAA">Sheet1!$AA$9</definedName>
    <definedName name="ColumnStartAB" localSheetId="0">Sheet1!$AB$9</definedName>
    <definedName name="ColumnStartAB">Sheet1!$AB$9</definedName>
    <definedName name="ColumnStartAC" localSheetId="0">Sheet1!$AC$9</definedName>
    <definedName name="ColumnStartAC">Sheet1!$AC$9</definedName>
    <definedName name="ColumnStartAD" localSheetId="0">Sheet1!$AD$9</definedName>
    <definedName name="ColumnStartAD">Sheet1!$AD$9</definedName>
    <definedName name="ColumnStartAE" localSheetId="0">Sheet1!$AE$9</definedName>
    <definedName name="ColumnStartAE">Sheet1!$AE$9</definedName>
    <definedName name="ColumnStartAF" localSheetId="0">Sheet1!$AF$9</definedName>
    <definedName name="ColumnStartAF">Sheet1!$AF$9</definedName>
    <definedName name="ColumnStartB" localSheetId="0">Sheet1!$B$9</definedName>
    <definedName name="ColumnStartB">Sheet1!$B$9</definedName>
    <definedName name="ColumnStartC" localSheetId="0">Sheet1!$C$9</definedName>
    <definedName name="ColumnStartC">Sheet1!$C$9</definedName>
    <definedName name="ColumnStartD" localSheetId="0">Sheet1!$D$9</definedName>
    <definedName name="ColumnStartD">Sheet1!$D$9</definedName>
    <definedName name="ColumnStartE" localSheetId="0">Sheet1!$E$9</definedName>
    <definedName name="ColumnStartE">Sheet1!$E$9</definedName>
    <definedName name="ColumnStartF" localSheetId="0">Sheet1!$F$9</definedName>
    <definedName name="ColumnStartF">Sheet1!$F$9</definedName>
    <definedName name="ColumnStartG" localSheetId="0">Sheet1!$G$9</definedName>
    <definedName name="ColumnStartG">Sheet1!$G$9</definedName>
    <definedName name="ColumnStartH" localSheetId="0">Sheet1!$H$9</definedName>
    <definedName name="ColumnStartH">Sheet1!$H$9</definedName>
    <definedName name="ColumnStartI" localSheetId="0">Sheet1!$I$9</definedName>
    <definedName name="ColumnStartI">Sheet1!$I$9</definedName>
    <definedName name="ColumnStartJ" localSheetId="0">Sheet1!$J$9</definedName>
    <definedName name="ColumnStartJ">Sheet1!$J$9</definedName>
    <definedName name="ColumnStartK" localSheetId="0">Sheet1!$K$9</definedName>
    <definedName name="ColumnStartK">Sheet1!$K$9</definedName>
    <definedName name="ColumnStartL" localSheetId="0">Sheet1!$L$9</definedName>
    <definedName name="ColumnStartL">Sheet1!$L$9</definedName>
    <definedName name="ColumnStartM" localSheetId="0">Sheet1!$M$9</definedName>
    <definedName name="ColumnStartM">Sheet1!$M$9</definedName>
    <definedName name="ColumnStartN" localSheetId="0">Sheet1!$N$9</definedName>
    <definedName name="ColumnStartN">Sheet1!$N$9</definedName>
    <definedName name="ColumnStartO" localSheetId="0">Sheet1!$O$9</definedName>
    <definedName name="ColumnStartO">Sheet1!$O$9</definedName>
    <definedName name="ColumnStartP" localSheetId="0">Sheet1!$P$9</definedName>
    <definedName name="ColumnStartP">Sheet1!$P$9</definedName>
    <definedName name="ColumnStartQ" localSheetId="0">Sheet1!$Q$9</definedName>
    <definedName name="ColumnStartQ">Sheet1!$Q$9</definedName>
    <definedName name="ColumnStartR" localSheetId="0">Sheet1!$R$9</definedName>
    <definedName name="ColumnStartR">Sheet1!$R$9</definedName>
    <definedName name="ColumnStartS" localSheetId="0">Sheet1!$S$9</definedName>
    <definedName name="ColumnStartS">Sheet1!$S$9</definedName>
    <definedName name="ColumnStartT" localSheetId="0">Sheet1!$T$9</definedName>
    <definedName name="ColumnStartT">Sheet1!$T$9</definedName>
    <definedName name="ColumnStartU" localSheetId="0">Sheet1!$U$9</definedName>
    <definedName name="ColumnStartU">Sheet1!$U$9</definedName>
    <definedName name="ColumnStartV" localSheetId="0">Sheet1!$V$9</definedName>
    <definedName name="ColumnStartV">Sheet1!$V$9</definedName>
    <definedName name="ColumnStartW" localSheetId="0">Sheet1!$W$9</definedName>
    <definedName name="ColumnStartW">Sheet1!$W$9</definedName>
    <definedName name="ColumnStartX" localSheetId="0">Sheet1!$X$9</definedName>
    <definedName name="ColumnStartX">Sheet1!$X$9</definedName>
    <definedName name="ColumnStartY" localSheetId="0">Sheet1!$Y$9</definedName>
    <definedName name="ColumnStartY">Sheet1!$Y$9</definedName>
    <definedName name="ColumnStartZ" localSheetId="0">Sheet1!$Z$9</definedName>
    <definedName name="ColumnStartZ">Sheet1!$Z$9</definedName>
    <definedName name="CurrentMonthVisits" localSheetId="0">[1]Sheet1!$AG$34</definedName>
    <definedName name="CurrentMonthVisits">Sheet1!$AG$33</definedName>
    <definedName name="Day_1">Sheet1!$B$7</definedName>
    <definedName name="Day_10">Sheet1!$K$7</definedName>
    <definedName name="Day_11">Sheet1!$L$7</definedName>
    <definedName name="Day_12">Sheet1!$M$7</definedName>
    <definedName name="Day_13">Sheet1!$N$7</definedName>
    <definedName name="Day_14">Sheet1!$O$7</definedName>
    <definedName name="Day_15">Sheet1!$P$7</definedName>
    <definedName name="Day_16">Sheet1!$Q$7</definedName>
    <definedName name="Day_17">Sheet1!$R$7</definedName>
    <definedName name="Day_18">Sheet1!$S$7</definedName>
    <definedName name="Day_19">Sheet1!$T$7</definedName>
    <definedName name="Day_2">Sheet1!$C$7</definedName>
    <definedName name="Day_20">Sheet1!$U$7</definedName>
    <definedName name="Day_21">Sheet1!$V$7</definedName>
    <definedName name="Day_22">Sheet1!$W$7</definedName>
    <definedName name="Day_23">Sheet1!$X$7</definedName>
    <definedName name="Day_24">Sheet1!$Y$7</definedName>
    <definedName name="Day_25">Sheet1!$Z$7</definedName>
    <definedName name="Day_26">Sheet1!$AA$7</definedName>
    <definedName name="Day_27">Sheet1!$AB$7</definedName>
    <definedName name="Day_28">Sheet1!$AC$7</definedName>
    <definedName name="Day_29">Sheet1!$AD$7</definedName>
    <definedName name="Day_3">Sheet1!$D$7</definedName>
    <definedName name="Day_30">Sheet1!$AE$7</definedName>
    <definedName name="Day_31">Sheet1!$AF$7</definedName>
    <definedName name="Day_4">Sheet1!$E$7</definedName>
    <definedName name="Day_5">Sheet1!$F$7</definedName>
    <definedName name="Day_6">Sheet1!$G$7</definedName>
    <definedName name="Day_7">Sheet1!$H$7</definedName>
    <definedName name="Day_8">Sheet1!$I$7</definedName>
    <definedName name="Day_9">Sheet1!$J$7</definedName>
    <definedName name="DaysTreatedTwice">Sheet1!$J$47</definedName>
    <definedName name="Initials1" localSheetId="0">Sheet1!$L$35</definedName>
    <definedName name="Initials1">Sheet1!$L$35</definedName>
    <definedName name="Initials10" localSheetId="0">Sheet1!$AB$36</definedName>
    <definedName name="Initials10">Sheet1!$AB$36</definedName>
    <definedName name="Initials11" localSheetId="0">Sheet1!$AB$37</definedName>
    <definedName name="Initials11">Sheet1!$AB$37</definedName>
    <definedName name="Initials12" localSheetId="0">Sheet1!$AB$38</definedName>
    <definedName name="Initials12">Sheet1!$AB$38</definedName>
    <definedName name="Initials13" localSheetId="0">Sheet1!$AB$39</definedName>
    <definedName name="Initials13">Sheet1!$AB$39</definedName>
    <definedName name="Initials14" localSheetId="0">Sheet1!$AB$40</definedName>
    <definedName name="Initials14">Sheet1!$AB$40</definedName>
    <definedName name="Initials15" localSheetId="0">Sheet1!$AB$41</definedName>
    <definedName name="Initials15">Sheet1!$AB$41</definedName>
    <definedName name="Initials16" localSheetId="0">Sheet1!$AB$42</definedName>
    <definedName name="Initials16">Sheet1!$AB$42</definedName>
    <definedName name="Initials2" localSheetId="0">Sheet1!$L$36</definedName>
    <definedName name="Initials2">Sheet1!$L$36</definedName>
    <definedName name="Initials3" localSheetId="0">Sheet1!$L$37</definedName>
    <definedName name="Initials3">Sheet1!$L$37</definedName>
    <definedName name="Initials4" localSheetId="0">Sheet1!$L$38</definedName>
    <definedName name="Initials4">Sheet1!$L$38</definedName>
    <definedName name="Initials5" localSheetId="0">Sheet1!$L$39</definedName>
    <definedName name="Initials5">Sheet1!$L$39</definedName>
    <definedName name="Initials6" localSheetId="0">Sheet1!$L$40</definedName>
    <definedName name="Initials6">Sheet1!$L$40</definedName>
    <definedName name="Initials7" localSheetId="0">Sheet1!$L$41</definedName>
    <definedName name="Initials7">Sheet1!$L$41</definedName>
    <definedName name="Initials8" localSheetId="0">Sheet1!$L$42</definedName>
    <definedName name="Initials8">Sheet1!$L$42</definedName>
    <definedName name="Initials9" localSheetId="0">Sheet1!$AB$35</definedName>
    <definedName name="Initials9">Sheet1!$AB$35</definedName>
    <definedName name="InitialsAA1">Sheet1!$AA$30</definedName>
    <definedName name="InitialsAA2">Sheet1!$AA$31</definedName>
    <definedName name="InitialsAA3">Sheet1!$AA$32</definedName>
    <definedName name="InitialsAB1">Sheet1!$AB$30</definedName>
    <definedName name="InitialsAB2">Sheet1!$AB$31</definedName>
    <definedName name="InitialsAB3">Sheet1!$AB$32</definedName>
    <definedName name="InitialsAC1">Sheet1!$AC$30</definedName>
    <definedName name="InitialsAC2">Sheet1!$AC$31</definedName>
    <definedName name="InitialsAC3">Sheet1!$AC$32</definedName>
    <definedName name="InitialsAD1">Sheet1!$AD$30</definedName>
    <definedName name="InitialsAD2">Sheet1!$AD$31</definedName>
    <definedName name="InitialsAD3">Sheet1!$AD$32</definedName>
    <definedName name="InitialsAE1">Sheet1!$AE$30</definedName>
    <definedName name="InitialsAE2">Sheet1!$AE$31</definedName>
    <definedName name="InitialsAE3">Sheet1!$AE$32</definedName>
    <definedName name="InitialsAF1">Sheet1!$AF$30</definedName>
    <definedName name="InitialsAF2">Sheet1!$AF$31</definedName>
    <definedName name="InitialsAF3">Sheet1!$AF$32</definedName>
    <definedName name="InitialsB1">Sheet1!$B$30</definedName>
    <definedName name="InitialsB2">Sheet1!$B$31</definedName>
    <definedName name="InitialsB3">Sheet1!$B$32</definedName>
    <definedName name="InitialsC1">Sheet1!$C$30</definedName>
    <definedName name="InitialsC2">Sheet1!$C$31</definedName>
    <definedName name="InitialsC3">Sheet1!$C$32</definedName>
    <definedName name="InitialsCounter1">Sheet1!$A$78</definedName>
    <definedName name="InitialsCounter10">Sheet1!$A$87</definedName>
    <definedName name="InitialsCounter11">Sheet1!$A$88</definedName>
    <definedName name="InitialsCounter12">Sheet1!$A$89</definedName>
    <definedName name="InitialsCounter13">Sheet1!$A$90</definedName>
    <definedName name="InitialsCounter14">Sheet1!$A$91</definedName>
    <definedName name="InitialsCounter15">Sheet1!$A$92</definedName>
    <definedName name="InitialsCounter16">Sheet1!$A$93</definedName>
    <definedName name="InitialsCounter2">Sheet1!$A$79</definedName>
    <definedName name="InitialsCounter3">Sheet1!$A$80</definedName>
    <definedName name="InitialsCounter4">Sheet1!$A$81</definedName>
    <definedName name="InitialsCounter5">Sheet1!$A$82</definedName>
    <definedName name="InitialsCounter6">Sheet1!$A$83</definedName>
    <definedName name="InitialsCounter7">Sheet1!$A$84</definedName>
    <definedName name="InitialsCounter8">Sheet1!$A$85</definedName>
    <definedName name="InitialsCounter9">Sheet1!$A$86</definedName>
    <definedName name="InitialsD1">Sheet1!$D$30</definedName>
    <definedName name="InitialsD2">Sheet1!$D$31</definedName>
    <definedName name="InitialsD3">Sheet1!$D$32</definedName>
    <definedName name="InitialsE1">Sheet1!$E$30</definedName>
    <definedName name="InitialsE2">Sheet1!$E$31</definedName>
    <definedName name="InitialsE3">Sheet1!$E$32</definedName>
    <definedName name="InitialsF1">Sheet1!$F$30</definedName>
    <definedName name="InitialsF2">Sheet1!$F$31</definedName>
    <definedName name="InitialsF3">Sheet1!$F$32</definedName>
    <definedName name="InitialsG1">Sheet1!$G$30</definedName>
    <definedName name="InitialsG2">Sheet1!$G$31</definedName>
    <definedName name="InitialsG3">Sheet1!$G$32</definedName>
    <definedName name="InitialsH1">Sheet1!$H$30</definedName>
    <definedName name="InitialsH2">Sheet1!$H$31</definedName>
    <definedName name="InitialsH3">Sheet1!$H$32</definedName>
    <definedName name="InitialsI1">Sheet1!$I$30</definedName>
    <definedName name="InitialsI2">Sheet1!$I$31</definedName>
    <definedName name="InitialsI3">Sheet1!$I$32</definedName>
    <definedName name="InitialsJ1">Sheet1!$J$30</definedName>
    <definedName name="InitialsJ2">Sheet1!$J$31</definedName>
    <definedName name="InitialsJ3">Sheet1!$J$32</definedName>
    <definedName name="InitialsK1">Sheet1!$K$30</definedName>
    <definedName name="InitialsK2">Sheet1!$K$31</definedName>
    <definedName name="InitialsK3">Sheet1!$K$32</definedName>
    <definedName name="InitialsL1">Sheet1!$L$30</definedName>
    <definedName name="InitialsL2">Sheet1!$L$31</definedName>
    <definedName name="InitialsL3">Sheet1!$L$32</definedName>
    <definedName name="InitialsM1">Sheet1!$M$30</definedName>
    <definedName name="InitialsM2">Sheet1!$M$31</definedName>
    <definedName name="InitialsM3">Sheet1!$M$32</definedName>
    <definedName name="InitialsN1">Sheet1!$N$30</definedName>
    <definedName name="InitialsN2">Sheet1!$N$31</definedName>
    <definedName name="InitialsN3">Sheet1!$N$32</definedName>
    <definedName name="InitialsO1">Sheet1!$O$30</definedName>
    <definedName name="InitialsO2">Sheet1!$O$31</definedName>
    <definedName name="InitialsO3">Sheet1!$O$32</definedName>
    <definedName name="InitialsP1">Sheet1!$P$30</definedName>
    <definedName name="InitialsP2">Sheet1!$P$31</definedName>
    <definedName name="InitialsP3">Sheet1!$P$32</definedName>
    <definedName name="InitialsQ1">Sheet1!$Q$30</definedName>
    <definedName name="InitialsQ2">Sheet1!$Q$31</definedName>
    <definedName name="InitialsQ3">Sheet1!$Q$32</definedName>
    <definedName name="InitialsR1">Sheet1!$R$30</definedName>
    <definedName name="InitialsR2">Sheet1!$R$31</definedName>
    <definedName name="InitialsR3">Sheet1!$R$32</definedName>
    <definedName name="InitialsS1">Sheet1!$S$30</definedName>
    <definedName name="InitialsS2">Sheet1!$S$31</definedName>
    <definedName name="InitialsS3">Sheet1!$S$32</definedName>
    <definedName name="InitialsT1">Sheet1!$T$30</definedName>
    <definedName name="InitialsT2">Sheet1!$T$31</definedName>
    <definedName name="InitialsT3">Sheet1!$T$32</definedName>
    <definedName name="InitialsU1">Sheet1!$U$30</definedName>
    <definedName name="InitialsU2">Sheet1!$U$31</definedName>
    <definedName name="InitialsU3">Sheet1!$U$32</definedName>
    <definedName name="InitialsV1">Sheet1!$V$30</definedName>
    <definedName name="InitialsV2">Sheet1!$V$31</definedName>
    <definedName name="InitialsV3">Sheet1!$V$32</definedName>
    <definedName name="InitialsW1">Sheet1!$W$30</definedName>
    <definedName name="InitialsW2">Sheet1!$W$31</definedName>
    <definedName name="InitialsW3">Sheet1!$W$32</definedName>
    <definedName name="InitialsX1">Sheet1!$X$30</definedName>
    <definedName name="InitialsX2">Sheet1!$X$31</definedName>
    <definedName name="InitialsX3">Sheet1!$X$32</definedName>
    <definedName name="InitialsY1">Sheet1!$Y$30</definedName>
    <definedName name="InitialsY2">Sheet1!$Y$31</definedName>
    <definedName name="InitialsY3">Sheet1!$Y$32</definedName>
    <definedName name="InitialsZ1">Sheet1!$Z$30</definedName>
    <definedName name="InitialsZ2">Sheet1!$Z$31</definedName>
    <definedName name="InitialsZ3">Sheet1!$Z$32</definedName>
    <definedName name="MergeAreaTitles">Sheet1!$B$35:$AG$42</definedName>
    <definedName name="PatientsTreatedTwice">Sheet1!$J$47</definedName>
    <definedName name="PreviousMonthVisits">Sheet1!$AB$33</definedName>
    <definedName name="TherapistName1">Sheet1!$B$35</definedName>
    <definedName name="TherapistName10">Sheet1!$R$36</definedName>
    <definedName name="TherapistName11">Sheet1!$R$37</definedName>
    <definedName name="TherapistName12">Sheet1!$R$38</definedName>
    <definedName name="TherapistName13">Sheet1!$R$39</definedName>
    <definedName name="TherapistName14">Sheet1!$R$40</definedName>
    <definedName name="TherapistName15">Sheet1!$R$41</definedName>
    <definedName name="TherapistName16">Sheet1!$R$42</definedName>
    <definedName name="TherapistName2">Sheet1!$B$36</definedName>
    <definedName name="TherapistName3">Sheet1!$B$37</definedName>
    <definedName name="TherapistName4">Sheet1!$B$38</definedName>
    <definedName name="TherapistName5">Sheet1!$B$39</definedName>
    <definedName name="TherapistName6">Sheet1!$B$40</definedName>
    <definedName name="TherapistName7">Sheet1!$B$41</definedName>
    <definedName name="TherapistName8">Sheet1!$B$42</definedName>
    <definedName name="TherapistName9">Sheet1!$R$35</definedName>
    <definedName name="Title1">Sheet1!$N$35</definedName>
    <definedName name="Title10">Sheet1!$AD$36</definedName>
    <definedName name="Title11">Sheet1!$AD$37</definedName>
    <definedName name="Title12">Sheet1!$AD$38</definedName>
    <definedName name="Title13">Sheet1!$AD$39</definedName>
    <definedName name="Title14">Sheet1!$AD$40</definedName>
    <definedName name="Title15">Sheet1!$AD$41</definedName>
    <definedName name="Title16">Sheet1!$AD$42</definedName>
    <definedName name="Title2">Sheet1!$N$36</definedName>
    <definedName name="Title3">Sheet1!$N$37</definedName>
    <definedName name="Title4">Sheet1!$N$38</definedName>
    <definedName name="Title5">Sheet1!$N$39</definedName>
    <definedName name="Title6">Sheet1!$N$40</definedName>
    <definedName name="Title7">Sheet1!$N$41</definedName>
    <definedName name="Title8">Sheet1!$N$42</definedName>
    <definedName name="Title9">Sheet1!$AD$35</definedName>
    <definedName name="TotalMinutes">Sheet1!$AG$29</definedName>
    <definedName name="TotalPatientVisits">Sheet1!$J$46</definedName>
    <definedName name="TotalTreatmentMinutesAA">Sheet1!$AA$29</definedName>
    <definedName name="TotalTreatmentMinutesAB">Sheet1!$AB$29</definedName>
    <definedName name="TotalTreatmentMinutesAC">Sheet1!$AC$29</definedName>
    <definedName name="TotalTreatmentMinutesAD">Sheet1!$AD$29</definedName>
    <definedName name="TotalTreatmentMinutesAE">Sheet1!$AE$29</definedName>
    <definedName name="TotalTreatmentMinutesAF">Sheet1!$AF$29</definedName>
    <definedName name="TotalTreatmentMinutesB">Sheet1!$B$29</definedName>
    <definedName name="TotalTreatmentMinutesC">Sheet1!$C$29</definedName>
    <definedName name="TotalTreatmentMinutesD">Sheet1!$D$29</definedName>
    <definedName name="TotalTreatmentMinutesE">Sheet1!$E$29</definedName>
    <definedName name="TotalTreatmentMinutesF">Sheet1!$F$29</definedName>
    <definedName name="TotalTreatmentMinutesG">Sheet1!$G$29</definedName>
    <definedName name="TotalTreatmentMinutesH">Sheet1!$H$29</definedName>
    <definedName name="TotalTreatmentMinutesI">Sheet1!$I$29</definedName>
    <definedName name="TotalTreatmentMinutesJ">Sheet1!$J$29</definedName>
    <definedName name="TotalTreatmentMinutesK">Sheet1!$K$29</definedName>
    <definedName name="TotalTreatmentMinutesL">Sheet1!$L$29</definedName>
    <definedName name="TotalTreatmentMinutesM">Sheet1!$M$29</definedName>
    <definedName name="TotalTreatmentMinutesN">Sheet1!$N$29</definedName>
    <definedName name="TotalTreatmentMinutesO">Sheet1!$O$29</definedName>
    <definedName name="TotalTreatmentMinutesP">Sheet1!$P$29</definedName>
    <definedName name="TotalTreatmentMinutesQ">Sheet1!$Q$29</definedName>
    <definedName name="TotalTreatmentMinutesR">Sheet1!$R$29</definedName>
    <definedName name="TotalTreatmentMinutesS">Sheet1!$S$29</definedName>
    <definedName name="TotalTreatmentMinutesT">Sheet1!$T$29</definedName>
    <definedName name="TotalTreatmentMinutesU">Sheet1!$U$29</definedName>
    <definedName name="TotalTreatmentMinutesV">Sheet1!$V$29</definedName>
    <definedName name="TotalTreatmentMinutesW">Sheet1!$W$29</definedName>
    <definedName name="TotalTreatmentMinutesX">Sheet1!$X$29</definedName>
    <definedName name="TotalTreatmentMinutesY">Sheet1!$Y$29</definedName>
    <definedName name="TotalTreatmentMinutesZ">Sheet1!$Z$29</definedName>
    <definedName name="TreatmentFrequency1">Sheet1!$B$45</definedName>
    <definedName name="TreatmentFrequency10">Sheet1!$K$45</definedName>
    <definedName name="TreatmentFrequency11">Sheet1!$L$45</definedName>
    <definedName name="TreatmentFrequency12">Sheet1!$M$45</definedName>
    <definedName name="TreatmentFrequency13">Sheet1!$N$45</definedName>
    <definedName name="TreatmentFrequency14">Sheet1!$O$45</definedName>
    <definedName name="TreatmentFrequency15">Sheet1!$P$45</definedName>
    <definedName name="TreatmentFrequency16">Sheet1!$Q$45</definedName>
    <definedName name="TreatmentFrequency17">Sheet1!$R$45</definedName>
    <definedName name="TreatmentFrequency18">Sheet1!$S$45</definedName>
    <definedName name="TreatmentFrequency19">Sheet1!$T$45</definedName>
    <definedName name="TreatmentFrequency2">Sheet1!$C$45</definedName>
    <definedName name="TreatmentFrequency20">Sheet1!$U$45</definedName>
    <definedName name="TreatmentFrequency21">Sheet1!$V$45</definedName>
    <definedName name="TreatmentFrequency22">Sheet1!$W$45</definedName>
    <definedName name="TreatmentFrequency23">Sheet1!$X$45</definedName>
    <definedName name="TreatmentFrequency24">Sheet1!$Y$45</definedName>
    <definedName name="TreatmentFrequency25">Sheet1!$Z$45</definedName>
    <definedName name="TreatmentFrequency26">Sheet1!$AA$45</definedName>
    <definedName name="TreatmentFrequency27">Sheet1!$AB$45</definedName>
    <definedName name="TreatmentFrequency28">Sheet1!$AC$45</definedName>
    <definedName name="TreatmentFrequency29">Sheet1!$AD$45</definedName>
    <definedName name="TreatmentFrequency3">Sheet1!$D$45</definedName>
    <definedName name="TreatmentFrequency30">Sheet1!$AE$45</definedName>
    <definedName name="TreatmentFrequency31">Sheet1!$AF$45</definedName>
    <definedName name="TreatmentFrequency4">Sheet1!$E$45</definedName>
    <definedName name="TreatmentFrequency5">Sheet1!$F$45</definedName>
    <definedName name="TreatmentFrequency6">Sheet1!$G$45</definedName>
    <definedName name="TreatmentFrequency7">Sheet1!$H$45</definedName>
    <definedName name="TreatmentFrequency8">Sheet1!$I$45</definedName>
    <definedName name="TreatmentFrequency9">Sheet1!$J$45</definedName>
    <definedName name="TreatmentMinutesAA">Sheet1!$AA$28</definedName>
    <definedName name="TreatmentMinutesAB">Sheet1!$AB$28</definedName>
    <definedName name="TreatmentMinutesAC">Sheet1!$AC$28</definedName>
    <definedName name="TreatmentMinutesAD">Sheet1!$AD$28</definedName>
    <definedName name="TreatmentMinutesAE">Sheet1!$AE$28</definedName>
    <definedName name="TreatmentMinutesAF">Sheet1!$AF$28</definedName>
    <definedName name="TreatmentMinutesB">Sheet1!$B$28</definedName>
    <definedName name="TreatmentMinutesC">Sheet1!$C$28</definedName>
    <definedName name="TreatmentMinutesD">Sheet1!$D$28</definedName>
    <definedName name="TreatmentMinutesE">Sheet1!$E$28</definedName>
    <definedName name="TreatmentMinutesF">Sheet1!$F$28</definedName>
    <definedName name="TreatmentMinutesG">Sheet1!$G$28</definedName>
    <definedName name="TreatmentMinutesH">Sheet1!$H$28</definedName>
    <definedName name="TreatmentMinutesI">Sheet1!$I$28</definedName>
    <definedName name="TreatmentMinutesJ">Sheet1!$J$28</definedName>
    <definedName name="TreatmentMinutesK">Sheet1!$K$28</definedName>
    <definedName name="TreatmentMinutesL">Sheet1!$L$28</definedName>
    <definedName name="TreatmentMinutesM">Sheet1!$M$28</definedName>
    <definedName name="TreatmentMinutesN">Sheet1!$N$28</definedName>
    <definedName name="TreatmentMinutesO">Sheet1!$O$28</definedName>
    <definedName name="TreatmentMinutesP">Sheet1!$P$28</definedName>
    <definedName name="TreatmentMinutesQ">Sheet1!$Q$28</definedName>
    <definedName name="TreatmentMinutesR">Sheet1!$R$28</definedName>
    <definedName name="TreatmentMinutesS">Sheet1!$S$28</definedName>
    <definedName name="TreatmentMinutesT">Sheet1!$T$28</definedName>
    <definedName name="TreatmentMinutesU">Sheet1!$U$28</definedName>
    <definedName name="TreatmentMinutesV">Sheet1!$V$28</definedName>
    <definedName name="TreatmentMinutesW">Sheet1!$W$28</definedName>
    <definedName name="TreatmentMinutesX">Sheet1!$X$28</definedName>
    <definedName name="TreatmentMinutesY">Sheet1!$Y$28</definedName>
    <definedName name="TreatmentMinutesZ">Sheet1!$Z$28</definedName>
    <definedName name="Trial">Sheet1!$I$31</definedName>
  </definedNames>
  <calcPr calcId="145621"/>
</workbook>
</file>

<file path=xl/calcChain.xml><?xml version="1.0" encoding="utf-8"?>
<calcChain xmlns="http://schemas.openxmlformats.org/spreadsheetml/2006/main">
  <c r="A20" i="26" l="1"/>
  <c r="A19" i="26"/>
  <c r="G10" i="26"/>
  <c r="E10" i="26"/>
  <c r="A10" i="26"/>
  <c r="A8" i="26"/>
  <c r="J47" i="24" l="1"/>
  <c r="J46" i="24" l="1"/>
  <c r="AG33" i="24" l="1"/>
  <c r="B28" i="24" l="1"/>
  <c r="B29" i="24" s="1"/>
  <c r="AF28" i="24"/>
  <c r="AF29" i="24" s="1"/>
  <c r="AE28" i="24"/>
  <c r="AE29" i="24" s="1"/>
  <c r="AD28" i="24"/>
  <c r="AD29" i="24" s="1"/>
  <c r="AC28" i="24"/>
  <c r="AC29" i="24" s="1"/>
  <c r="AB28" i="24"/>
  <c r="AB29" i="24" s="1"/>
  <c r="AA28" i="24"/>
  <c r="AA29" i="24" s="1"/>
  <c r="Z28" i="24"/>
  <c r="Z29" i="24" s="1"/>
  <c r="Y28" i="24"/>
  <c r="Y29" i="24" s="1"/>
  <c r="X28" i="24"/>
  <c r="X29" i="24" s="1"/>
  <c r="W28" i="24"/>
  <c r="W29" i="24" s="1"/>
  <c r="V28" i="24"/>
  <c r="V29" i="24" s="1"/>
  <c r="U28" i="24"/>
  <c r="U29" i="24" s="1"/>
  <c r="T28" i="24"/>
  <c r="T29" i="24" s="1"/>
  <c r="S28" i="24"/>
  <c r="S29" i="24" s="1"/>
  <c r="R28" i="24"/>
  <c r="R29" i="24" s="1"/>
  <c r="Q28" i="24"/>
  <c r="Q29" i="24" s="1"/>
  <c r="P28" i="24"/>
  <c r="P29" i="24" s="1"/>
  <c r="O28" i="24"/>
  <c r="O29" i="24" s="1"/>
  <c r="N28" i="24"/>
  <c r="N29" i="24" s="1"/>
  <c r="M28" i="24"/>
  <c r="M29" i="24" s="1"/>
  <c r="L28" i="24"/>
  <c r="L29" i="24" s="1"/>
  <c r="K28" i="24"/>
  <c r="K29" i="24" s="1"/>
  <c r="J28" i="24"/>
  <c r="J29" i="24" s="1"/>
  <c r="I28" i="24"/>
  <c r="I29" i="24" s="1"/>
  <c r="H28" i="24"/>
  <c r="H29" i="24" s="1"/>
  <c r="G28" i="24"/>
  <c r="G29" i="24" s="1"/>
  <c r="F28" i="24"/>
  <c r="F29" i="24" s="1"/>
  <c r="E28" i="24"/>
  <c r="E29" i="24" s="1"/>
  <c r="D28" i="24"/>
  <c r="D29" i="24" s="1"/>
  <c r="C28" i="24"/>
  <c r="C29" i="24" s="1"/>
  <c r="A93" i="24" l="1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G29" i="24" l="1"/>
</calcChain>
</file>

<file path=xl/sharedStrings.xml><?xml version="1.0" encoding="utf-8"?>
<sst xmlns="http://schemas.openxmlformats.org/spreadsheetml/2006/main" count="81" uniqueCount="77">
  <si>
    <t>Columbine Therapy Services --</t>
  </si>
  <si>
    <t>Physical Therapy Treatment Note</t>
  </si>
  <si>
    <t xml:space="preserve">       Med A           Humana</t>
  </si>
  <si>
    <t>BC/BS</t>
  </si>
  <si>
    <r>
      <t xml:space="preserve">       </t>
    </r>
    <r>
      <rPr>
        <b/>
        <sz val="10"/>
        <rFont val="Times New Roman"/>
        <family val="1"/>
      </rPr>
      <t>Kaiser</t>
    </r>
  </si>
  <si>
    <t>Other, Negotiated Contract (Payor:</t>
  </si>
  <si>
    <t>)</t>
  </si>
  <si>
    <t>Facility:</t>
  </si>
  <si>
    <t xml:space="preserve">Physician: </t>
  </si>
  <si>
    <t xml:space="preserve">Tx Dx and Code(ICD-10): </t>
  </si>
  <si>
    <t xml:space="preserve">Med Dx: </t>
  </si>
  <si>
    <t xml:space="preserve">Date of Onset: </t>
  </si>
  <si>
    <t xml:space="preserve">Date of Eval: </t>
  </si>
  <si>
    <t>Date of Recert:</t>
  </si>
  <si>
    <t xml:space="preserve">Date of D/C from therapy: </t>
  </si>
  <si>
    <t>Physical Therapy Rx</t>
  </si>
  <si>
    <t xml:space="preserve">Total Mins </t>
  </si>
  <si>
    <t>Initials</t>
  </si>
  <si>
    <t>Attendance Code:</t>
  </si>
  <si>
    <t>A. Dr Appt</t>
  </si>
  <si>
    <t>B. Ill/Pain</t>
  </si>
  <si>
    <t>C. Med Hold</t>
  </si>
  <si>
    <t>D. Other</t>
  </si>
  <si>
    <t>Therapist's Name (Print)</t>
  </si>
  <si>
    <t>Title</t>
  </si>
  <si>
    <t>Command Buttons</t>
  </si>
  <si>
    <r>
      <t xml:space="preserve">Total Visits for </t>
    </r>
    <r>
      <rPr>
        <b/>
        <sz val="6"/>
        <color rgb="FF0000FF"/>
        <rFont val="Arial"/>
        <family val="2"/>
      </rPr>
      <t>This Month:</t>
    </r>
  </si>
  <si>
    <t>97032: E-stim attended (T)</t>
  </si>
  <si>
    <t>97035: Ultrasound (T)</t>
  </si>
  <si>
    <t xml:space="preserve">97110:Ther-ex ROM/Strength (T) </t>
  </si>
  <si>
    <t>97112: Ther-ex neuro re-ed (T)</t>
  </si>
  <si>
    <t>97116: Gait training (T)</t>
  </si>
  <si>
    <t>97140: Manual Rx (T)</t>
  </si>
  <si>
    <t>97530: Ther-ex/Fxl activity (T)</t>
  </si>
  <si>
    <t>97535: Ther-ex/self-care (T)</t>
  </si>
  <si>
    <t>97760: Orthotic fit/training (T)</t>
  </si>
  <si>
    <t>97762: Ortho/prosth check-out(T)</t>
  </si>
  <si>
    <r>
      <t xml:space="preserve">Total Visits from </t>
    </r>
    <r>
      <rPr>
        <b/>
        <sz val="6"/>
        <color rgb="FF0000FF"/>
        <rFont val="Arial"/>
        <family val="2"/>
      </rPr>
      <t>Previous Months</t>
    </r>
    <r>
      <rPr>
        <b/>
        <sz val="6"/>
        <rFont val="Arial"/>
        <family val="2"/>
      </rPr>
      <t xml:space="preserve"> for</t>
    </r>
    <r>
      <rPr>
        <b/>
        <sz val="6"/>
        <color rgb="FF0000FF"/>
        <rFont val="Arial"/>
        <family val="2"/>
      </rPr>
      <t xml:space="preserve"> Current Episode of Care:</t>
    </r>
  </si>
  <si>
    <t xml:space="preserve">Patient's Name (Last, First): </t>
  </si>
  <si>
    <t>Centre Ave Health &amp; Rehab</t>
  </si>
  <si>
    <t>Total treatment mins/MDS (timed and untimed tx)</t>
  </si>
  <si>
    <t>Initials Counter:</t>
  </si>
  <si>
    <t>97024: SWD Supervised (S)</t>
  </si>
  <si>
    <t>Timed treatment minutes</t>
  </si>
  <si>
    <t>97161: Evaluation - LOW (S)</t>
  </si>
  <si>
    <t>97163: Evaluation - HIGH (S)</t>
  </si>
  <si>
    <t>97162: Evaluation - MOD (S)</t>
  </si>
  <si>
    <t>97164: Re-evaluation (S)</t>
  </si>
  <si>
    <t>G0283 E-stim unattended (S)</t>
  </si>
  <si>
    <t>Total Days Patient Seen:</t>
  </si>
  <si>
    <t># of Days Patient Seen Twice:</t>
  </si>
  <si>
    <t>(updated 03/08/2017)</t>
  </si>
  <si>
    <t>Is this a UCHealth patient?</t>
  </si>
  <si>
    <t>Is this an orthopedic patient?</t>
  </si>
  <si>
    <t>&lt;-- That is a button!</t>
  </si>
  <si>
    <t>Month</t>
  </si>
  <si>
    <t>Year</t>
  </si>
  <si>
    <t>Month:</t>
  </si>
  <si>
    <t>Year:</t>
  </si>
  <si>
    <t>Patient Last Name:</t>
  </si>
  <si>
    <t>Patient First Name:</t>
  </si>
  <si>
    <t>INSTRUCTIONS:</t>
  </si>
  <si>
    <t>Use the drop-down lists to select a month and year,</t>
  </si>
  <si>
    <t>and input the patient's last name and first name. Next, push the</t>
  </si>
  <si>
    <r>
      <t>"Create Therapy Log" button at the top.</t>
    </r>
    <r>
      <rPr>
        <b/>
        <sz val="11"/>
        <color theme="1"/>
        <rFont val="Calibri"/>
        <family val="2"/>
        <scheme val="minor"/>
      </rPr>
      <t/>
    </r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</si>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</sst>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\ yy"/>
    <numFmt numFmtId="165" formatCode="[$-409]mmmm\-yy;@"/>
  </numFmts>
  <fonts count="2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b/>
      <sz val="10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b/>
      <sz val="6"/>
      <name val="Arial"/>
      <family val="2"/>
    </font>
    <font>
      <sz val="18"/>
      <name val="Arial"/>
      <family val="2"/>
    </font>
    <font>
      <sz val="8"/>
      <color rgb="FF000000"/>
      <name val="Tahoma"/>
      <family val="2"/>
    </font>
    <font>
      <b/>
      <sz val="6"/>
      <color rgb="FF0000FF"/>
      <name val="Arial"/>
      <family val="2"/>
    </font>
    <font>
      <sz val="20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6"/>
      <color theme="1" tint="0.249977111117893"/>
      <name val="Wingdings 3"/>
      <family val="1"/>
      <charset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lightDown">
        <bgColor indexed="41"/>
      </patternFill>
    </fill>
    <fill>
      <patternFill patternType="gray125">
        <bgColor indexed="41"/>
      </patternFill>
    </fill>
    <fill>
      <patternFill patternType="gray125">
        <bgColor rgb="FFCCFFFF"/>
      </patternFill>
    </fill>
    <fill>
      <patternFill patternType="solid">
        <fgColor theme="0"/>
        <bgColor indexed="64"/>
      </patternFill>
    </fill>
    <fill>
      <patternFill patternType="solid">
        <fgColor rgb="FF9BFFC8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9" fontId="14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175">
    <xf numFmtId="0" fontId="0" fillId="0" borderId="0" xfId="0"/>
    <xf numFmtId="0" fontId="3" fillId="2" borderId="1" xfId="1" applyFont="1" applyFill="1" applyBorder="1" applyAlignment="1" applyProtection="1">
      <protection locked="0"/>
    </xf>
    <xf numFmtId="0" fontId="3" fillId="0" borderId="3" xfId="1" applyFont="1" applyBorder="1" applyAlignment="1" applyProtection="1"/>
    <xf numFmtId="0" fontId="6" fillId="0" borderId="6" xfId="1" applyFont="1" applyBorder="1" applyProtection="1"/>
    <xf numFmtId="0" fontId="4" fillId="0" borderId="7" xfId="1" applyFont="1" applyBorder="1" applyAlignment="1" applyProtection="1">
      <alignment horizontal="center" vertical="top"/>
    </xf>
    <xf numFmtId="0" fontId="4" fillId="0" borderId="8" xfId="1" applyFont="1" applyBorder="1" applyProtection="1"/>
    <xf numFmtId="0" fontId="7" fillId="3" borderId="9" xfId="1" applyFont="1" applyFill="1" applyBorder="1" applyProtection="1"/>
    <xf numFmtId="0" fontId="1" fillId="3" borderId="11" xfId="1" applyFill="1" applyBorder="1" applyAlignment="1" applyProtection="1">
      <alignment horizontal="center" vertical="top"/>
    </xf>
    <xf numFmtId="0" fontId="4" fillId="0" borderId="14" xfId="1" applyFont="1" applyBorder="1" applyAlignment="1" applyProtection="1">
      <alignment horizontal="center"/>
    </xf>
    <xf numFmtId="0" fontId="7" fillId="2" borderId="1" xfId="1" applyFont="1" applyFill="1" applyBorder="1" applyProtection="1">
      <protection locked="0"/>
    </xf>
    <xf numFmtId="0" fontId="1" fillId="0" borderId="14" xfId="1" applyBorder="1" applyProtection="1"/>
    <xf numFmtId="0" fontId="7" fillId="5" borderId="10" xfId="1" applyFont="1" applyFill="1" applyBorder="1" applyProtection="1"/>
    <xf numFmtId="0" fontId="7" fillId="5" borderId="11" xfId="1" applyFont="1" applyFill="1" applyBorder="1" applyProtection="1"/>
    <xf numFmtId="0" fontId="8" fillId="0" borderId="18" xfId="1" applyFont="1" applyBorder="1" applyAlignment="1" applyProtection="1">
      <alignment horizontal="center" vertical="center" wrapText="1"/>
    </xf>
    <xf numFmtId="0" fontId="7" fillId="0" borderId="20" xfId="1" applyFont="1" applyBorder="1" applyAlignment="1" applyProtection="1">
      <alignment horizontal="left"/>
    </xf>
    <xf numFmtId="0" fontId="7" fillId="0" borderId="0" xfId="1" applyFont="1" applyBorder="1" applyProtection="1"/>
    <xf numFmtId="0" fontId="1" fillId="0" borderId="21" xfId="1" applyBorder="1" applyAlignment="1" applyProtection="1"/>
    <xf numFmtId="0" fontId="7" fillId="8" borderId="13" xfId="1" applyFont="1" applyFill="1" applyBorder="1" applyProtection="1">
      <protection locked="0"/>
    </xf>
    <xf numFmtId="0" fontId="7" fillId="8" borderId="1" xfId="1" applyFont="1" applyFill="1" applyBorder="1" applyProtection="1">
      <protection locked="0"/>
    </xf>
    <xf numFmtId="0" fontId="1" fillId="0" borderId="0" xfId="1" applyProtection="1"/>
    <xf numFmtId="0" fontId="4" fillId="0" borderId="0" xfId="1" applyFont="1" applyProtection="1"/>
    <xf numFmtId="0" fontId="1" fillId="3" borderId="10" xfId="1" applyFill="1" applyBorder="1" applyAlignment="1" applyProtection="1">
      <alignment horizontal="center" vertical="top"/>
    </xf>
    <xf numFmtId="0" fontId="5" fillId="2" borderId="4" xfId="1" applyFont="1" applyFill="1" applyBorder="1" applyAlignment="1" applyProtection="1"/>
    <xf numFmtId="0" fontId="3" fillId="2" borderId="4" xfId="1" applyFont="1" applyFill="1" applyBorder="1" applyAlignment="1" applyProtection="1"/>
    <xf numFmtId="0" fontId="7" fillId="2" borderId="13" xfId="1" applyFont="1" applyFill="1" applyBorder="1" applyAlignment="1" applyProtection="1">
      <alignment horizontal="center"/>
      <protection locked="0"/>
    </xf>
    <xf numFmtId="0" fontId="7" fillId="8" borderId="1" xfId="1" applyFont="1" applyFill="1" applyBorder="1" applyProtection="1"/>
    <xf numFmtId="0" fontId="7" fillId="2" borderId="1" xfId="1" applyFont="1" applyFill="1" applyBorder="1" applyAlignment="1" applyProtection="1">
      <alignment wrapText="1"/>
    </xf>
    <xf numFmtId="0" fontId="7" fillId="8" borderId="1" xfId="1" applyFont="1" applyFill="1" applyBorder="1" applyAlignment="1" applyProtection="1">
      <alignment wrapText="1"/>
    </xf>
    <xf numFmtId="0" fontId="7" fillId="2" borderId="1" xfId="1" applyFont="1" applyFill="1" applyBorder="1" applyProtection="1"/>
    <xf numFmtId="0" fontId="5" fillId="2" borderId="3" xfId="1" applyFont="1" applyFill="1" applyBorder="1" applyAlignment="1" applyProtection="1"/>
    <xf numFmtId="0" fontId="7" fillId="2" borderId="3" xfId="1" applyFont="1" applyFill="1" applyBorder="1" applyAlignment="1" applyProtection="1">
      <alignment wrapText="1"/>
    </xf>
    <xf numFmtId="0" fontId="7" fillId="2" borderId="17" xfId="1" applyFont="1" applyFill="1" applyBorder="1" applyAlignment="1" applyProtection="1">
      <alignment wrapText="1"/>
    </xf>
    <xf numFmtId="0" fontId="7" fillId="0" borderId="12" xfId="1" applyFont="1" applyBorder="1" applyAlignment="1" applyProtection="1">
      <alignment vertical="center"/>
      <protection locked="0"/>
    </xf>
    <xf numFmtId="0" fontId="7" fillId="0" borderId="15" xfId="1" applyFont="1" applyBorder="1" applyAlignment="1" applyProtection="1">
      <alignment vertical="center"/>
      <protection locked="0"/>
    </xf>
    <xf numFmtId="0" fontId="7" fillId="0" borderId="6" xfId="1" applyFont="1" applyFill="1" applyBorder="1" applyAlignment="1" applyProtection="1">
      <alignment vertical="center"/>
      <protection locked="0"/>
    </xf>
    <xf numFmtId="0" fontId="7" fillId="0" borderId="15" xfId="1" applyFont="1" applyFill="1" applyBorder="1" applyAlignment="1" applyProtection="1">
      <alignment vertical="center"/>
      <protection locked="0"/>
    </xf>
    <xf numFmtId="0" fontId="7" fillId="0" borderId="15" xfId="1" applyFont="1" applyBorder="1" applyAlignment="1" applyProtection="1">
      <alignment vertical="center" wrapText="1"/>
      <protection locked="0"/>
    </xf>
    <xf numFmtId="0" fontId="1" fillId="0" borderId="0" xfId="1" applyProtection="1">
      <protection locked="0"/>
    </xf>
    <xf numFmtId="0" fontId="7" fillId="8" borderId="17" xfId="1" applyFont="1" applyFill="1" applyBorder="1" applyAlignment="1" applyProtection="1">
      <alignment wrapText="1"/>
    </xf>
    <xf numFmtId="0" fontId="7" fillId="8" borderId="3" xfId="1" applyFont="1" applyFill="1" applyBorder="1" applyAlignment="1" applyProtection="1">
      <alignment wrapText="1"/>
    </xf>
    <xf numFmtId="0" fontId="7" fillId="2" borderId="13" xfId="1" applyFont="1" applyFill="1" applyBorder="1" applyProtection="1">
      <protection locked="0"/>
    </xf>
    <xf numFmtId="0" fontId="4" fillId="2" borderId="19" xfId="1" applyFont="1" applyFill="1" applyBorder="1" applyProtection="1"/>
    <xf numFmtId="0" fontId="1" fillId="0" borderId="5" xfId="1" applyBorder="1" applyProtection="1">
      <protection locked="0"/>
    </xf>
    <xf numFmtId="0" fontId="4" fillId="0" borderId="16" xfId="1" applyFont="1" applyBorder="1" applyAlignment="1" applyProtection="1">
      <alignment vertical="center" wrapText="1"/>
    </xf>
    <xf numFmtId="0" fontId="4" fillId="8" borderId="19" xfId="1" applyFont="1" applyFill="1" applyBorder="1" applyProtection="1"/>
    <xf numFmtId="0" fontId="1" fillId="0" borderId="18" xfId="1" applyFill="1" applyBorder="1" applyProtection="1"/>
    <xf numFmtId="0" fontId="1" fillId="0" borderId="0" xfId="1" applyAlignment="1" applyProtection="1"/>
    <xf numFmtId="0" fontId="7" fillId="7" borderId="1" xfId="1" applyFont="1" applyFill="1" applyBorder="1" applyAlignment="1" applyProtection="1">
      <alignment horizontal="center"/>
      <protection locked="0"/>
    </xf>
    <xf numFmtId="0" fontId="7" fillId="2" borderId="3" xfId="1" applyFont="1" applyFill="1" applyBorder="1" applyProtection="1"/>
    <xf numFmtId="0" fontId="1" fillId="0" borderId="33" xfId="1" applyFill="1" applyBorder="1" applyProtection="1"/>
    <xf numFmtId="0" fontId="1" fillId="0" borderId="14" xfId="1" applyFill="1" applyBorder="1" applyProtection="1"/>
    <xf numFmtId="0" fontId="13" fillId="0" borderId="16" xfId="1" applyFont="1" applyBorder="1" applyAlignment="1" applyProtection="1">
      <alignment vertical="center" wrapText="1"/>
    </xf>
    <xf numFmtId="0" fontId="1" fillId="0" borderId="0" xfId="1" applyAlignment="1" applyProtection="1">
      <alignment horizontal="center"/>
    </xf>
    <xf numFmtId="0" fontId="1" fillId="0" borderId="35" xfId="1" applyBorder="1" applyProtection="1"/>
    <xf numFmtId="0" fontId="7" fillId="7" borderId="36" xfId="1" applyFont="1" applyFill="1" applyBorder="1" applyAlignment="1" applyProtection="1">
      <alignment horizontal="center"/>
      <protection locked="0"/>
    </xf>
    <xf numFmtId="0" fontId="7" fillId="0" borderId="1" xfId="1" applyFont="1" applyBorder="1" applyAlignment="1" applyProtection="1">
      <alignment vertical="center"/>
      <protection locked="0"/>
    </xf>
    <xf numFmtId="0" fontId="1" fillId="0" borderId="0" xfId="1" applyBorder="1" applyAlignment="1" applyProtection="1">
      <alignment horizontal="center"/>
    </xf>
    <xf numFmtId="0" fontId="1" fillId="4" borderId="33" xfId="1" applyFill="1" applyBorder="1" applyProtection="1"/>
    <xf numFmtId="0" fontId="7" fillId="2" borderId="17" xfId="1" applyFont="1" applyFill="1" applyBorder="1" applyAlignment="1" applyProtection="1">
      <alignment horizontal="center"/>
      <protection locked="0"/>
    </xf>
    <xf numFmtId="0" fontId="7" fillId="2" borderId="7" xfId="1" applyFont="1" applyFill="1" applyBorder="1" applyAlignment="1" applyProtection="1">
      <alignment horizontal="center"/>
      <protection locked="0"/>
    </xf>
    <xf numFmtId="0" fontId="7" fillId="2" borderId="34" xfId="1" applyFont="1" applyFill="1" applyBorder="1" applyAlignment="1" applyProtection="1">
      <alignment horizontal="center"/>
      <protection locked="0"/>
    </xf>
    <xf numFmtId="0" fontId="7" fillId="6" borderId="0" xfId="1" applyFont="1" applyFill="1" applyAlignment="1" applyProtection="1">
      <alignment vertical="center"/>
      <protection locked="0"/>
    </xf>
    <xf numFmtId="0" fontId="7" fillId="4" borderId="9" xfId="1" applyFont="1" applyFill="1" applyBorder="1" applyAlignment="1" applyProtection="1">
      <alignment vertical="center"/>
      <protection locked="0"/>
    </xf>
    <xf numFmtId="0" fontId="1" fillId="0" borderId="19" xfId="1" applyBorder="1" applyProtection="1"/>
    <xf numFmtId="9" fontId="1" fillId="0" borderId="31" xfId="2" applyFont="1" applyBorder="1" applyProtection="1"/>
    <xf numFmtId="0" fontId="5" fillId="2" borderId="0" xfId="1" applyFont="1" applyFill="1" applyAlignment="1" applyProtection="1">
      <alignment horizontal="center" vertical="top" wrapText="1"/>
    </xf>
    <xf numFmtId="0" fontId="0" fillId="6" borderId="0" xfId="0" applyFill="1" applyBorder="1" applyProtection="1"/>
    <xf numFmtId="0" fontId="17" fillId="6" borderId="3" xfId="0" applyFont="1" applyFill="1" applyBorder="1" applyAlignment="1" applyProtection="1">
      <alignment horizontal="center" vertical="center"/>
    </xf>
    <xf numFmtId="0" fontId="18" fillId="6" borderId="7" xfId="0" applyFont="1" applyFill="1" applyBorder="1" applyProtection="1"/>
    <xf numFmtId="0" fontId="17" fillId="6" borderId="5" xfId="0" applyFont="1" applyFill="1" applyBorder="1" applyAlignment="1" applyProtection="1">
      <alignment horizontal="center" vertical="center"/>
    </xf>
    <xf numFmtId="0" fontId="19" fillId="6" borderId="0" xfId="0" applyFont="1" applyFill="1" applyBorder="1" applyProtection="1"/>
    <xf numFmtId="0" fontId="17" fillId="6" borderId="1" xfId="0" applyFont="1" applyFill="1" applyBorder="1" applyAlignment="1" applyProtection="1">
      <alignment vertical="center"/>
    </xf>
    <xf numFmtId="0" fontId="17" fillId="6" borderId="0" xfId="0" applyFont="1" applyFill="1" applyBorder="1" applyAlignment="1" applyProtection="1">
      <alignment vertical="center"/>
    </xf>
    <xf numFmtId="164" fontId="20" fillId="2" borderId="3" xfId="0" applyNumberFormat="1" applyFont="1" applyFill="1" applyBorder="1" applyAlignment="1" applyProtection="1">
      <alignment horizontal="center" vertical="center"/>
      <protection locked="0"/>
    </xf>
    <xf numFmtId="0" fontId="22" fillId="10" borderId="1" xfId="3" applyFont="1" applyFill="1" applyBorder="1" applyAlignment="1" applyProtection="1">
      <alignment horizontal="center" vertical="center"/>
      <protection locked="0"/>
    </xf>
    <xf numFmtId="1" fontId="20" fillId="2" borderId="5" xfId="0" applyNumberFormat="1" applyFont="1" applyFill="1" applyBorder="1" applyAlignment="1" applyProtection="1">
      <alignment horizontal="center" vertical="center"/>
      <protection locked="0"/>
    </xf>
    <xf numFmtId="0" fontId="20" fillId="2" borderId="1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vertical="center"/>
      <protection locked="0"/>
    </xf>
    <xf numFmtId="0" fontId="23" fillId="0" borderId="0" xfId="0" applyFont="1" applyFill="1" applyBorder="1" applyAlignment="1" applyProtection="1">
      <alignment vertical="center"/>
    </xf>
    <xf numFmtId="0" fontId="15" fillId="6" borderId="42" xfId="0" applyFont="1" applyFill="1" applyBorder="1" applyProtection="1"/>
    <xf numFmtId="0" fontId="0" fillId="6" borderId="31" xfId="0" applyFill="1" applyBorder="1" applyAlignment="1" applyProtection="1"/>
    <xf numFmtId="0" fontId="0" fillId="6" borderId="43" xfId="0" applyFill="1" applyBorder="1" applyAlignment="1" applyProtection="1"/>
    <xf numFmtId="0" fontId="0" fillId="6" borderId="32" xfId="0" applyFill="1" applyBorder="1" applyProtection="1"/>
    <xf numFmtId="0" fontId="0" fillId="6" borderId="0" xfId="0" applyFill="1" applyBorder="1" applyAlignment="1" applyProtection="1"/>
    <xf numFmtId="0" fontId="0" fillId="6" borderId="24" xfId="0" applyFill="1" applyBorder="1" applyAlignment="1" applyProtection="1"/>
    <xf numFmtId="0" fontId="0" fillId="6" borderId="44" xfId="0" applyFill="1" applyBorder="1" applyProtection="1"/>
    <xf numFmtId="0" fontId="0" fillId="6" borderId="45" xfId="0" applyFill="1" applyBorder="1" applyAlignment="1" applyProtection="1"/>
    <xf numFmtId="0" fontId="0" fillId="6" borderId="46" xfId="0" applyFill="1" applyBorder="1" applyAlignment="1" applyProtection="1"/>
    <xf numFmtId="165" fontId="0" fillId="6" borderId="0" xfId="0" applyNumberFormat="1" applyFill="1" applyBorder="1" applyProtection="1"/>
    <xf numFmtId="0" fontId="16" fillId="9" borderId="22" xfId="0" applyFont="1" applyFill="1" applyBorder="1" applyAlignment="1" applyProtection="1">
      <alignment horizontal="center"/>
    </xf>
    <xf numFmtId="0" fontId="16" fillId="9" borderId="41" xfId="0" applyFont="1" applyFill="1" applyBorder="1" applyAlignment="1" applyProtection="1">
      <alignment horizontal="center"/>
    </xf>
    <xf numFmtId="0" fontId="16" fillId="9" borderId="23" xfId="0" applyFont="1" applyFill="1" applyBorder="1" applyAlignment="1" applyProtection="1">
      <alignment horizontal="center"/>
    </xf>
    <xf numFmtId="0" fontId="1" fillId="8" borderId="3" xfId="1" applyFont="1" applyFill="1" applyBorder="1" applyAlignment="1" applyProtection="1">
      <alignment horizontal="center"/>
      <protection locked="0"/>
    </xf>
    <xf numFmtId="0" fontId="1" fillId="8" borderId="5" xfId="1" applyFont="1" applyFill="1" applyBorder="1" applyAlignment="1" applyProtection="1">
      <alignment horizontal="center"/>
      <protection locked="0"/>
    </xf>
    <xf numFmtId="14" fontId="1" fillId="2" borderId="3" xfId="1" applyNumberFormat="1" applyFill="1" applyBorder="1" applyAlignment="1" applyProtection="1">
      <alignment horizontal="left"/>
      <protection locked="0"/>
    </xf>
    <xf numFmtId="0" fontId="1" fillId="2" borderId="4" xfId="1" applyFill="1" applyBorder="1" applyAlignment="1" applyProtection="1">
      <alignment horizontal="left"/>
      <protection locked="0"/>
    </xf>
    <xf numFmtId="0" fontId="1" fillId="2" borderId="5" xfId="1" applyFill="1" applyBorder="1" applyAlignment="1" applyProtection="1">
      <alignment horizontal="left"/>
      <protection locked="0"/>
    </xf>
    <xf numFmtId="0" fontId="1" fillId="2" borderId="3" xfId="1" applyFill="1" applyBorder="1" applyAlignment="1" applyProtection="1">
      <alignment horizontal="left"/>
      <protection locked="0"/>
    </xf>
    <xf numFmtId="0" fontId="1" fillId="8" borderId="27" xfId="1" applyFont="1" applyFill="1" applyBorder="1" applyAlignment="1" applyProtection="1">
      <alignment horizontal="center"/>
      <protection locked="0"/>
    </xf>
    <xf numFmtId="0" fontId="1" fillId="8" borderId="4" xfId="1" applyFont="1" applyFill="1" applyBorder="1" applyAlignment="1" applyProtection="1">
      <alignment horizontal="center"/>
      <protection locked="0"/>
    </xf>
    <xf numFmtId="0" fontId="1" fillId="2" borderId="27" xfId="1" applyFont="1" applyFill="1" applyBorder="1" applyAlignment="1" applyProtection="1">
      <alignment horizontal="center"/>
      <protection locked="0"/>
    </xf>
    <xf numFmtId="0" fontId="1" fillId="2" borderId="4" xfId="1" applyFont="1" applyFill="1" applyBorder="1" applyAlignment="1" applyProtection="1">
      <alignment horizontal="center"/>
      <protection locked="0"/>
    </xf>
    <xf numFmtId="0" fontId="1" fillId="2" borderId="5" xfId="1" applyFont="1" applyFill="1" applyBorder="1" applyAlignment="1" applyProtection="1">
      <alignment horizontal="center"/>
      <protection locked="0"/>
    </xf>
    <xf numFmtId="0" fontId="12" fillId="0" borderId="17" xfId="1" applyFont="1" applyBorder="1" applyAlignment="1" applyProtection="1">
      <alignment horizontal="center" vertical="center"/>
    </xf>
    <xf numFmtId="0" fontId="12" fillId="0" borderId="7" xfId="1" applyFont="1" applyBorder="1" applyAlignment="1" applyProtection="1">
      <alignment horizontal="center" vertical="center"/>
    </xf>
    <xf numFmtId="0" fontId="12" fillId="0" borderId="13" xfId="1" applyFont="1" applyBorder="1" applyAlignment="1" applyProtection="1">
      <alignment horizontal="center" vertical="center"/>
    </xf>
    <xf numFmtId="0" fontId="3" fillId="0" borderId="17" xfId="1" applyFont="1" applyBorder="1" applyAlignment="1" applyProtection="1">
      <alignment horizontal="left" vertical="top"/>
    </xf>
    <xf numFmtId="0" fontId="3" fillId="0" borderId="13" xfId="1" applyFont="1" applyBorder="1" applyAlignment="1" applyProtection="1">
      <alignment horizontal="left" vertical="top"/>
    </xf>
    <xf numFmtId="0" fontId="1" fillId="0" borderId="32" xfId="1" applyBorder="1" applyAlignment="1" applyProtection="1">
      <alignment horizontal="center"/>
    </xf>
    <xf numFmtId="0" fontId="1" fillId="0" borderId="0" xfId="1" applyAlignment="1" applyProtection="1">
      <alignment horizontal="center"/>
    </xf>
    <xf numFmtId="0" fontId="1" fillId="0" borderId="0" xfId="1" applyBorder="1" applyAlignment="1" applyProtection="1">
      <alignment horizontal="center"/>
    </xf>
    <xf numFmtId="0" fontId="9" fillId="0" borderId="0" xfId="1" applyFont="1" applyBorder="1" applyAlignment="1" applyProtection="1">
      <alignment horizontal="center" vertical="center"/>
    </xf>
    <xf numFmtId="0" fontId="1" fillId="0" borderId="24" xfId="1" applyBorder="1" applyAlignment="1" applyProtection="1">
      <alignment horizontal="center"/>
    </xf>
    <xf numFmtId="0" fontId="1" fillId="2" borderId="3" xfId="1" applyFont="1" applyFill="1" applyBorder="1" applyAlignment="1" applyProtection="1">
      <alignment horizontal="center"/>
      <protection locked="0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37" xfId="1" applyFont="1" applyFill="1" applyBorder="1" applyAlignment="1" applyProtection="1">
      <alignment horizontal="center"/>
    </xf>
    <xf numFmtId="0" fontId="1" fillId="0" borderId="5" xfId="1" applyFont="1" applyFill="1" applyBorder="1" applyAlignment="1" applyProtection="1">
      <alignment horizontal="center"/>
    </xf>
    <xf numFmtId="0" fontId="1" fillId="0" borderId="38" xfId="1" applyFont="1" applyFill="1" applyBorder="1" applyAlignment="1" applyProtection="1">
      <alignment horizontal="center"/>
    </xf>
    <xf numFmtId="0" fontId="1" fillId="8" borderId="3" xfId="1" applyFill="1" applyBorder="1" applyAlignment="1" applyProtection="1">
      <alignment horizontal="center"/>
      <protection locked="0"/>
    </xf>
    <xf numFmtId="0" fontId="1" fillId="8" borderId="5" xfId="1" applyFill="1" applyBorder="1" applyAlignment="1" applyProtection="1">
      <alignment horizontal="center"/>
      <protection locked="0"/>
    </xf>
    <xf numFmtId="0" fontId="1" fillId="8" borderId="4" xfId="1" applyFill="1" applyBorder="1" applyAlignment="1" applyProtection="1">
      <alignment horizontal="center"/>
      <protection locked="0"/>
    </xf>
    <xf numFmtId="0" fontId="1" fillId="8" borderId="39" xfId="1" applyFill="1" applyBorder="1" applyAlignment="1" applyProtection="1">
      <alignment horizontal="center"/>
      <protection locked="0"/>
    </xf>
    <xf numFmtId="0" fontId="3" fillId="0" borderId="0" xfId="1" applyFont="1" applyBorder="1" applyAlignment="1" applyProtection="1">
      <alignment horizontal="left" vertical="center"/>
    </xf>
    <xf numFmtId="0" fontId="8" fillId="0" borderId="21" xfId="1" applyFont="1" applyBorder="1" applyAlignment="1" applyProtection="1">
      <alignment horizontal="left" wrapText="1"/>
    </xf>
    <xf numFmtId="0" fontId="1" fillId="0" borderId="21" xfId="1" applyBorder="1" applyAlignment="1" applyProtection="1">
      <alignment horizontal="left" wrapText="1"/>
    </xf>
    <xf numFmtId="0" fontId="3" fillId="2" borderId="3" xfId="1" applyFont="1" applyFill="1" applyBorder="1" applyAlignment="1" applyProtection="1">
      <alignment horizontal="left"/>
    </xf>
    <xf numFmtId="0" fontId="3" fillId="2" borderId="4" xfId="1" applyFont="1" applyFill="1" applyBorder="1" applyAlignment="1" applyProtection="1">
      <alignment horizontal="left"/>
    </xf>
    <xf numFmtId="0" fontId="3" fillId="2" borderId="5" xfId="1" applyFont="1" applyFill="1" applyBorder="1" applyAlignment="1" applyProtection="1">
      <alignment horizontal="left"/>
    </xf>
    <xf numFmtId="0" fontId="3" fillId="0" borderId="3" xfId="1" applyFont="1" applyBorder="1" applyAlignment="1" applyProtection="1">
      <alignment horizontal="center"/>
    </xf>
    <xf numFmtId="0" fontId="3" fillId="0" borderId="4" xfId="1" applyFont="1" applyBorder="1" applyAlignment="1" applyProtection="1">
      <alignment horizontal="center"/>
    </xf>
    <xf numFmtId="0" fontId="1" fillId="8" borderId="22" xfId="1" applyFill="1" applyBorder="1" applyAlignment="1" applyProtection="1">
      <alignment horizontal="center"/>
    </xf>
    <xf numFmtId="0" fontId="1" fillId="8" borderId="23" xfId="1" applyFill="1" applyBorder="1" applyAlignment="1" applyProtection="1">
      <alignment horizontal="center"/>
    </xf>
    <xf numFmtId="0" fontId="8" fillId="0" borderId="30" xfId="1" applyFont="1" applyBorder="1" applyAlignment="1" applyProtection="1">
      <alignment horizontal="center" wrapText="1"/>
    </xf>
    <xf numFmtId="0" fontId="8" fillId="0" borderId="21" xfId="1" applyFont="1" applyBorder="1" applyAlignment="1" applyProtection="1">
      <alignment horizontal="center" wrapText="1"/>
    </xf>
    <xf numFmtId="0" fontId="3" fillId="2" borderId="3" xfId="1" applyFont="1" applyFill="1" applyBorder="1" applyAlignment="1" applyProtection="1">
      <alignment horizontal="left" wrapText="1"/>
      <protection locked="0"/>
    </xf>
    <xf numFmtId="0" fontId="3" fillId="2" borderId="4" xfId="1" applyFont="1" applyFill="1" applyBorder="1" applyAlignment="1" applyProtection="1">
      <alignment horizontal="left" wrapText="1"/>
      <protection locked="0"/>
    </xf>
    <xf numFmtId="0" fontId="3" fillId="2" borderId="5" xfId="1" applyFont="1" applyFill="1" applyBorder="1" applyAlignment="1" applyProtection="1">
      <alignment horizontal="left" wrapText="1"/>
      <protection locked="0"/>
    </xf>
    <xf numFmtId="0" fontId="3" fillId="8" borderId="3" xfId="1" applyFont="1" applyFill="1" applyBorder="1" applyAlignment="1" applyProtection="1">
      <alignment horizontal="left" wrapText="1"/>
      <protection locked="0"/>
    </xf>
    <xf numFmtId="0" fontId="3" fillId="8" borderId="4" xfId="1" applyFont="1" applyFill="1" applyBorder="1" applyAlignment="1" applyProtection="1">
      <alignment horizontal="left" wrapText="1"/>
      <protection locked="0"/>
    </xf>
    <xf numFmtId="0" fontId="3" fillId="8" borderId="5" xfId="1" applyFont="1" applyFill="1" applyBorder="1" applyAlignment="1" applyProtection="1">
      <alignment horizontal="left" wrapText="1"/>
      <protection locked="0"/>
    </xf>
    <xf numFmtId="0" fontId="3" fillId="8" borderId="3" xfId="1" applyFont="1" applyFill="1" applyBorder="1" applyAlignment="1" applyProtection="1">
      <alignment horizontal="left"/>
      <protection locked="0"/>
    </xf>
    <xf numFmtId="0" fontId="3" fillId="8" borderId="4" xfId="1" applyFont="1" applyFill="1" applyBorder="1" applyAlignment="1" applyProtection="1">
      <alignment horizontal="left"/>
      <protection locked="0"/>
    </xf>
    <xf numFmtId="0" fontId="3" fillId="8" borderId="5" xfId="1" applyFont="1" applyFill="1" applyBorder="1" applyAlignment="1" applyProtection="1">
      <alignment horizontal="left"/>
      <protection locked="0"/>
    </xf>
    <xf numFmtId="0" fontId="3" fillId="0" borderId="3" xfId="1" applyFont="1" applyBorder="1" applyAlignment="1" applyProtection="1">
      <alignment horizontal="left"/>
    </xf>
    <xf numFmtId="0" fontId="3" fillId="0" borderId="5" xfId="1" applyFont="1" applyBorder="1" applyAlignment="1" applyProtection="1">
      <alignment horizontal="left"/>
    </xf>
    <xf numFmtId="0" fontId="5" fillId="0" borderId="4" xfId="1" applyFont="1" applyBorder="1" applyAlignment="1" applyProtection="1">
      <alignment horizontal="center"/>
    </xf>
    <xf numFmtId="0" fontId="3" fillId="2" borderId="3" xfId="1" applyFont="1" applyFill="1" applyBorder="1" applyAlignment="1" applyProtection="1">
      <alignment horizontal="left"/>
      <protection locked="0"/>
    </xf>
    <xf numFmtId="0" fontId="3" fillId="2" borderId="4" xfId="1" applyFont="1" applyFill="1" applyBorder="1" applyAlignment="1" applyProtection="1">
      <alignment horizontal="left"/>
      <protection locked="0"/>
    </xf>
    <xf numFmtId="0" fontId="3" fillId="2" borderId="5" xfId="1" applyFont="1" applyFill="1" applyBorder="1" applyAlignment="1" applyProtection="1">
      <alignment horizontal="left"/>
      <protection locked="0"/>
    </xf>
    <xf numFmtId="0" fontId="1" fillId="2" borderId="29" xfId="1" applyFill="1" applyBorder="1" applyAlignment="1" applyProtection="1">
      <alignment horizontal="center"/>
      <protection locked="0"/>
    </xf>
    <xf numFmtId="0" fontId="1" fillId="2" borderId="28" xfId="1" applyFill="1" applyBorder="1" applyAlignment="1" applyProtection="1">
      <alignment horizontal="center"/>
      <protection locked="0"/>
    </xf>
    <xf numFmtId="0" fontId="1" fillId="2" borderId="40" xfId="1" applyFill="1" applyBorder="1" applyAlignment="1" applyProtection="1">
      <alignment horizontal="center"/>
      <protection locked="0"/>
    </xf>
    <xf numFmtId="0" fontId="1" fillId="2" borderId="29" xfId="1" applyFont="1" applyFill="1" applyBorder="1" applyAlignment="1" applyProtection="1">
      <alignment horizontal="center"/>
      <protection locked="0"/>
    </xf>
    <xf numFmtId="0" fontId="1" fillId="2" borderId="26" xfId="1" applyFont="1" applyFill="1" applyBorder="1" applyAlignment="1" applyProtection="1">
      <alignment horizontal="center"/>
      <protection locked="0"/>
    </xf>
    <xf numFmtId="0" fontId="1" fillId="2" borderId="25" xfId="1" applyFont="1" applyFill="1" applyBorder="1" applyAlignment="1" applyProtection="1">
      <alignment horizontal="center"/>
      <protection locked="0"/>
    </xf>
    <xf numFmtId="0" fontId="1" fillId="2" borderId="28" xfId="1" applyFont="1" applyFill="1" applyBorder="1" applyAlignment="1" applyProtection="1">
      <alignment horizontal="center"/>
      <protection locked="0"/>
    </xf>
    <xf numFmtId="0" fontId="1" fillId="2" borderId="26" xfId="1" applyFill="1" applyBorder="1" applyAlignment="1" applyProtection="1">
      <alignment horizontal="center"/>
      <protection locked="0"/>
    </xf>
    <xf numFmtId="0" fontId="4" fillId="0" borderId="2" xfId="1" applyFont="1" applyBorder="1" applyAlignment="1" applyProtection="1">
      <alignment horizontal="center" vertical="center"/>
    </xf>
    <xf numFmtId="0" fontId="1" fillId="0" borderId="2" xfId="1" applyBorder="1" applyAlignment="1" applyProtection="1">
      <alignment horizontal="center" vertical="center"/>
    </xf>
    <xf numFmtId="0" fontId="1" fillId="2" borderId="3" xfId="1" applyFill="1" applyBorder="1" applyAlignment="1" applyProtection="1">
      <alignment horizontal="center"/>
      <protection locked="0"/>
    </xf>
    <xf numFmtId="0" fontId="1" fillId="2" borderId="5" xfId="1" applyFill="1" applyBorder="1" applyAlignment="1" applyProtection="1">
      <alignment horizontal="center"/>
      <protection locked="0"/>
    </xf>
    <xf numFmtId="0" fontId="1" fillId="2" borderId="4" xfId="1" applyFill="1" applyBorder="1" applyAlignment="1" applyProtection="1">
      <alignment horizontal="center"/>
      <protection locked="0"/>
    </xf>
    <xf numFmtId="0" fontId="1" fillId="2" borderId="39" xfId="1" applyFill="1" applyBorder="1" applyAlignment="1" applyProtection="1">
      <alignment horizontal="center"/>
      <protection locked="0"/>
    </xf>
    <xf numFmtId="0" fontId="1" fillId="8" borderId="3" xfId="1" applyFill="1" applyBorder="1" applyAlignment="1" applyProtection="1">
      <alignment horizontal="left"/>
      <protection locked="0"/>
    </xf>
    <xf numFmtId="0" fontId="1" fillId="8" borderId="4" xfId="1" applyFill="1" applyBorder="1" applyAlignment="1" applyProtection="1">
      <alignment horizontal="left"/>
      <protection locked="0"/>
    </xf>
    <xf numFmtId="0" fontId="1" fillId="8" borderId="5" xfId="1" applyFill="1" applyBorder="1" applyAlignment="1" applyProtection="1">
      <alignment horizontal="left"/>
      <protection locked="0"/>
    </xf>
    <xf numFmtId="0" fontId="3" fillId="0" borderId="5" xfId="1" applyFont="1" applyBorder="1" applyAlignment="1" applyProtection="1">
      <alignment horizontal="center"/>
    </xf>
    <xf numFmtId="0" fontId="2" fillId="0" borderId="2" xfId="1" applyFont="1" applyBorder="1" applyAlignment="1" applyProtection="1">
      <alignment horizontal="center" vertical="center"/>
    </xf>
    <xf numFmtId="0" fontId="5" fillId="2" borderId="3" xfId="1" applyFont="1" applyFill="1" applyBorder="1" applyAlignment="1" applyProtection="1">
      <alignment horizontal="center" vertical="top"/>
    </xf>
    <xf numFmtId="0" fontId="5" fillId="2" borderId="4" xfId="1" applyFont="1" applyFill="1" applyBorder="1" applyAlignment="1" applyProtection="1">
      <alignment horizontal="center" vertical="top"/>
    </xf>
    <xf numFmtId="0" fontId="5" fillId="2" borderId="5" xfId="1" applyFont="1" applyFill="1" applyBorder="1" applyAlignment="1" applyProtection="1">
      <alignment horizontal="center" vertical="top"/>
    </xf>
    <xf numFmtId="0" fontId="3" fillId="0" borderId="4" xfId="1" applyFont="1" applyBorder="1" applyAlignment="1" applyProtection="1">
      <alignment horizontal="left"/>
    </xf>
    <xf numFmtId="0" fontId="5" fillId="2" borderId="4" xfId="1" applyFont="1" applyFill="1" applyBorder="1" applyAlignment="1" applyProtection="1">
      <alignment horizontal="right"/>
    </xf>
    <xf numFmtId="0" fontId="5" fillId="2" borderId="5" xfId="1" applyFont="1" applyFill="1" applyBorder="1" applyAlignment="1" applyProtection="1">
      <alignment horizontal="right"/>
    </xf>
  </cellXfs>
  <cellStyles count="4">
    <cellStyle name="Hyperlink" xfId="3" builtinId="8"/>
    <cellStyle name="Normal" xfId="0" builtinId="0"/>
    <cellStyle name="Normal 2" xfId="1"/>
    <cellStyle name="Percent" xfId="2" builtinId="5"/>
  </cellStyles>
  <dxfs count="11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"/>
      <tableStyleElement type="headerRow" dxfId="9"/>
    </tableStyle>
  </tableStyles>
  <colors>
    <mruColors>
      <color rgb="FFCCFFFF"/>
      <color rgb="FF99FFCC"/>
      <color rgb="FF66FF99"/>
      <color rgb="FF0000FF"/>
      <color rgb="FF9BFFC8"/>
      <color rgb="FF6DFFAF"/>
      <color rgb="FFFFFF99"/>
      <color rgb="FF66FF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Label" lockText="1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Label" lockText="1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Label" lockText="1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Label" lockText="1"/>
</file>

<file path=xl/ctrlProps/ctrlProp33.xml><?xml version="1.0" encoding="utf-8"?>
<formControlPr xmlns="http://schemas.microsoft.com/office/spreadsheetml/2009/9/main" objectType="Label" lockText="1"/>
</file>

<file path=xl/ctrlProps/ctrlProp34.xml><?xml version="1.0" encoding="utf-8"?>
<formControlPr xmlns="http://schemas.microsoft.com/office/spreadsheetml/2009/9/main" objectType="Label" lockText="1"/>
</file>

<file path=xl/ctrlProps/ctrlProp35.xml><?xml version="1.0" encoding="utf-8"?>
<formControlPr xmlns="http://schemas.microsoft.com/office/spreadsheetml/2009/9/main" objectType="Label" lockText="1"/>
</file>

<file path=xl/ctrlProps/ctrlProp36.xml><?xml version="1.0" encoding="utf-8"?>
<formControlPr xmlns="http://schemas.microsoft.com/office/spreadsheetml/2009/9/main" objectType="Label" lockText="1"/>
</file>

<file path=xl/ctrlProps/ctrlProp37.xml><?xml version="1.0" encoding="utf-8"?>
<formControlPr xmlns="http://schemas.microsoft.com/office/spreadsheetml/2009/9/main" objectType="Label" lockText="1"/>
</file>

<file path=xl/ctrlProps/ctrlProp38.xml><?xml version="1.0" encoding="utf-8"?>
<formControlPr xmlns="http://schemas.microsoft.com/office/spreadsheetml/2009/9/main" objectType="Label" lockText="1"/>
</file>

<file path=xl/ctrlProps/ctrlProp39.xml><?xml version="1.0" encoding="utf-8"?>
<formControlPr xmlns="http://schemas.microsoft.com/office/spreadsheetml/2009/9/main" objectType="Label" lockText="1"/>
</file>

<file path=xl/ctrlProps/ctrlProp40.xml><?xml version="1.0" encoding="utf-8"?>
<formControlPr xmlns="http://schemas.microsoft.com/office/spreadsheetml/2009/9/main" objectType="Label" lockText="1"/>
</file>

<file path=xl/ctrlProps/ctrlProp41.xml><?xml version="1.0" encoding="utf-8"?>
<formControlPr xmlns="http://schemas.microsoft.com/office/spreadsheetml/2009/9/main" objectType="Label" lockText="1"/>
</file>

<file path=xl/ctrlProps/ctrlProp42.xml><?xml version="1.0" encoding="utf-8"?>
<formControlPr xmlns="http://schemas.microsoft.com/office/spreadsheetml/2009/9/main" objectType="Label" lockText="1"/>
</file>

<file path=xl/ctrlProps/ctrlProp43.xml><?xml version="1.0" encoding="utf-8"?>
<formControlPr xmlns="http://schemas.microsoft.com/office/spreadsheetml/2009/9/main" objectType="Label" lockText="1"/>
</file>

<file path=xl/ctrlProps/ctrlProp44.xml><?xml version="1.0" encoding="utf-8"?>
<formControlPr xmlns="http://schemas.microsoft.com/office/spreadsheetml/2009/9/main" objectType="Label" lockText="1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Label" lockText="1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Label" lockText="1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Label" lockText="1"/>
</file>

<file path=xl/ctrlProps/ctrlProp51.xml><?xml version="1.0" encoding="utf-8"?>
<formControlPr xmlns="http://schemas.microsoft.com/office/spreadsheetml/2009/9/main" objectType="Label" lockText="1"/>
</file>

<file path=xl/ctrlProps/ctrlProp52.xml><?xml version="1.0" encoding="utf-8"?>
<formControlPr xmlns="http://schemas.microsoft.com/office/spreadsheetml/2009/9/main" objectType="Label" lockText="1"/>
</file>

<file path=xl/ctrlProps/ctrlProp53.xml><?xml version="1.0" encoding="utf-8"?>
<formControlPr xmlns="http://schemas.microsoft.com/office/spreadsheetml/2009/9/main" objectType="Label" lockText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Label" lockText="1"/>
</file>

<file path=xl/ctrlProps/ctrlProp56.xml><?xml version="1.0" encoding="utf-8"?>
<formControlPr xmlns="http://schemas.microsoft.com/office/spreadsheetml/2009/9/main" objectType="Label" lockText="1"/>
</file>

<file path=xl/ctrlProps/ctrlProp57.xml><?xml version="1.0" encoding="utf-8"?>
<formControlPr xmlns="http://schemas.microsoft.com/office/spreadsheetml/2009/9/main" objectType="Label" lockText="1"/>
</file>

<file path=xl/ctrlProps/ctrlProp58.xml><?xml version="1.0" encoding="utf-8"?>
<formControlPr xmlns="http://schemas.microsoft.com/office/spreadsheetml/2009/9/main" objectType="Label" lockText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Label" lockText="1"/>
</file>

<file path=xl/ctrlProps/ctrlProp61.xml><?xml version="1.0" encoding="utf-8"?>
<formControlPr xmlns="http://schemas.microsoft.com/office/spreadsheetml/2009/9/main" objectType="Label" lockText="1"/>
</file>

<file path=xl/ctrlProps/ctrlProp62.xml><?xml version="1.0" encoding="utf-8"?>
<formControlPr xmlns="http://schemas.microsoft.com/office/spreadsheetml/2009/9/main" objectType="Label" lockText="1"/>
</file>

<file path=xl/ctrlProps/ctrlProp63.xml><?xml version="1.0" encoding="utf-8"?>
<formControlPr xmlns="http://schemas.microsoft.com/office/spreadsheetml/2009/9/main" objectType="Label" lockText="1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Label" lockText="1"/>
</file>

<file path=xl/ctrlProps/ctrlProp66.xml><?xml version="1.0" encoding="utf-8"?>
<formControlPr xmlns="http://schemas.microsoft.com/office/spreadsheetml/2009/9/main" objectType="Label" lockText="1"/>
</file>

<file path=xl/ctrlProps/ctrlProp67.xml><?xml version="1.0" encoding="utf-8"?>
<formControlPr xmlns="http://schemas.microsoft.com/office/spreadsheetml/2009/9/main" objectType="Label" lockText="1"/>
</file>

<file path=xl/ctrlProps/ctrlProp68.xml><?xml version="1.0" encoding="utf-8"?>
<formControlPr xmlns="http://schemas.microsoft.com/office/spreadsheetml/2009/9/main" objectType="Label" lockText="1"/>
</file>

<file path=xl/ctrlProps/ctrlProp69.xml><?xml version="1.0" encoding="utf-8"?>
<formControlPr xmlns="http://schemas.microsoft.com/office/spreadsheetml/2009/9/main" objectType="Label" lockText="1"/>
</file>

<file path=xl/ctrlProps/ctrlProp70.xml><?xml version="1.0" encoding="utf-8"?>
<formControlPr xmlns="http://schemas.microsoft.com/office/spreadsheetml/2009/9/main" objectType="Label" lockText="1"/>
</file>

<file path=xl/ctrlProps/ctrlProp71.xml><?xml version="1.0" encoding="utf-8"?>
<formControlPr xmlns="http://schemas.microsoft.com/office/spreadsheetml/2009/9/main" objectType="Label" lockText="1"/>
</file>

<file path=xl/ctrlProps/ctrlProp72.xml><?xml version="1.0" encoding="utf-8"?>
<formControlPr xmlns="http://schemas.microsoft.com/office/spreadsheetml/2009/9/main" objectType="Label" lockText="1"/>
</file>

<file path=xl/ctrlProps/ctrlProp73.xml><?xml version="1.0" encoding="utf-8"?>
<formControlPr xmlns="http://schemas.microsoft.com/office/spreadsheetml/2009/9/main" objectType="Label" lockText="1"/>
</file>

<file path=xl/ctrlProps/ctrlProp74.xml><?xml version="1.0" encoding="utf-8"?>
<formControlPr xmlns="http://schemas.microsoft.com/office/spreadsheetml/2009/9/main" objectType="Label" lockText="1"/>
</file>

<file path=xl/ctrlProps/ctrlProp75.xml><?xml version="1.0" encoding="utf-8"?>
<formControlPr xmlns="http://schemas.microsoft.com/office/spreadsheetml/2009/9/main" objectType="Label" lockText="1"/>
</file>

<file path=xl/ctrlProps/ctrlProp76.xml><?xml version="1.0" encoding="utf-8"?>
<formControlPr xmlns="http://schemas.microsoft.com/office/spreadsheetml/2009/9/main" objectType="Label" lockText="1"/>
</file>

<file path=xl/ctrlProps/ctrlProp77.xml><?xml version="1.0" encoding="utf-8"?>
<formControlPr xmlns="http://schemas.microsoft.com/office/spreadsheetml/2009/9/main" objectType="Label" lockText="1"/>
</file>

<file path=xl/ctrlProps/ctrlProp78.xml><?xml version="1.0" encoding="utf-8"?>
<formControlPr xmlns="http://schemas.microsoft.com/office/spreadsheetml/2009/9/main" objectType="Label" lockText="1"/>
</file>

<file path=xl/ctrlProps/ctrlProp79.xml><?xml version="1.0" encoding="utf-8"?>
<formControlPr xmlns="http://schemas.microsoft.com/office/spreadsheetml/2009/9/main" objectType="Label" lockText="1"/>
</file>

<file path=xl/ctrlProps/ctrlProp80.xml><?xml version="1.0" encoding="utf-8"?>
<formControlPr xmlns="http://schemas.microsoft.com/office/spreadsheetml/2009/9/main" objectType="Label" lockText="1"/>
</file>

<file path=xl/ctrlProps/ctrlProp81.xml><?xml version="1.0" encoding="utf-8"?>
<formControlPr xmlns="http://schemas.microsoft.com/office/spreadsheetml/2009/9/main" objectType="Label" lockText="1"/>
</file>

<file path=xl/ctrlProps/ctrlProp82.xml><?xml version="1.0" encoding="utf-8"?>
<formControlPr xmlns="http://schemas.microsoft.com/office/spreadsheetml/2009/9/main" objectType="Label" lockText="1"/>
</file>

<file path=xl/ctrlProps/ctrlProp83.xml><?xml version="1.0" encoding="utf-8"?>
<formControlPr xmlns="http://schemas.microsoft.com/office/spreadsheetml/2009/9/main" objectType="Label" lockText="1"/>
</file>

<file path=xl/ctrlProps/ctrlProp84.xml><?xml version="1.0" encoding="utf-8"?>
<formControlPr xmlns="http://schemas.microsoft.com/office/spreadsheetml/2009/9/main" objectType="Label" lockText="1"/>
</file>

<file path=xl/ctrlProps/ctrlProp85.xml><?xml version="1.0" encoding="utf-8"?>
<formControlPr xmlns="http://schemas.microsoft.com/office/spreadsheetml/2009/9/main" objectType="Label" lockText="1"/>
</file>

<file path=xl/ctrlProps/ctrlProp86.xml><?xml version="1.0" encoding="utf-8"?>
<formControlPr xmlns="http://schemas.microsoft.com/office/spreadsheetml/2009/9/main" objectType="Label" lockText="1"/>
</file>

<file path=xl/ctrlProps/ctrlProp87.xml><?xml version="1.0" encoding="utf-8"?>
<formControlPr xmlns="http://schemas.microsoft.com/office/spreadsheetml/2009/9/main" objectType="Label" lockText="1"/>
</file>

<file path=xl/ctrlProps/ctrlProp88.xml><?xml version="1.0" encoding="utf-8"?>
<formControlPr xmlns="http://schemas.microsoft.com/office/spreadsheetml/2009/9/main" objectType="Label" lockText="1"/>
</file>

<file path=xl/ctrlProps/ctrlProp89.xml><?xml version="1.0" encoding="utf-8"?>
<formControlPr xmlns="http://schemas.microsoft.com/office/spreadsheetml/2009/9/main" objectType="Label" lockText="1"/>
</file>

<file path=xl/ctrlProps/ctrlProp90.xml><?xml version="1.0" encoding="utf-8"?>
<formControlPr xmlns="http://schemas.microsoft.com/office/spreadsheetml/2009/9/main" objectType="Label" lockText="1"/>
</file>

<file path=xl/ctrlProps/ctrlProp91.xml><?xml version="1.0" encoding="utf-8"?>
<formControlPr xmlns="http://schemas.microsoft.com/office/spreadsheetml/2009/9/main" objectType="Label" lockText="1"/>
</file>

<file path=xl/ctrlProps/ctrlProp92.xml><?xml version="1.0" encoding="utf-8"?>
<formControlPr xmlns="http://schemas.microsoft.com/office/spreadsheetml/2009/9/main" objectType="Label" lockText="1"/>
</file>

<file path=xl/ctrlProps/ctrlProp93.xml><?xml version="1.0" encoding="utf-8"?>
<formControlPr xmlns="http://schemas.microsoft.com/office/spreadsheetml/2009/9/main" objectType="Label" lockText="1"/>
</file>

<file path=xl/ctrlProps/ctrlProp94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18.emf"/><Relationship Id="rId18" Type="http://schemas.openxmlformats.org/officeDocument/2006/relationships/image" Target="../media/image23.emf"/><Relationship Id="rId26" Type="http://schemas.openxmlformats.org/officeDocument/2006/relationships/image" Target="../media/image31.emf"/><Relationship Id="rId39" Type="http://schemas.openxmlformats.org/officeDocument/2006/relationships/image" Target="../media/image37.emf"/><Relationship Id="rId3" Type="http://schemas.openxmlformats.org/officeDocument/2006/relationships/image" Target="../media/image8.emf"/><Relationship Id="rId21" Type="http://schemas.openxmlformats.org/officeDocument/2006/relationships/image" Target="../media/image26.emf"/><Relationship Id="rId34" Type="http://schemas.openxmlformats.org/officeDocument/2006/relationships/image" Target="../media/image3.emf"/><Relationship Id="rId7" Type="http://schemas.openxmlformats.org/officeDocument/2006/relationships/image" Target="../media/image12.emf"/><Relationship Id="rId12" Type="http://schemas.openxmlformats.org/officeDocument/2006/relationships/image" Target="../media/image17.emf"/><Relationship Id="rId17" Type="http://schemas.openxmlformats.org/officeDocument/2006/relationships/image" Target="../media/image22.emf"/><Relationship Id="rId25" Type="http://schemas.openxmlformats.org/officeDocument/2006/relationships/image" Target="../media/image30.emf"/><Relationship Id="rId33" Type="http://schemas.openxmlformats.org/officeDocument/2006/relationships/image" Target="../media/image4.emf"/><Relationship Id="rId38" Type="http://schemas.openxmlformats.org/officeDocument/2006/relationships/image" Target="../media/image38.emf"/><Relationship Id="rId2" Type="http://schemas.openxmlformats.org/officeDocument/2006/relationships/image" Target="../media/image7.emf"/><Relationship Id="rId16" Type="http://schemas.openxmlformats.org/officeDocument/2006/relationships/image" Target="../media/image21.emf"/><Relationship Id="rId20" Type="http://schemas.openxmlformats.org/officeDocument/2006/relationships/image" Target="../media/image25.emf"/><Relationship Id="rId29" Type="http://schemas.openxmlformats.org/officeDocument/2006/relationships/image" Target="../media/image34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16.emf"/><Relationship Id="rId24" Type="http://schemas.openxmlformats.org/officeDocument/2006/relationships/image" Target="../media/image29.emf"/><Relationship Id="rId32" Type="http://schemas.openxmlformats.org/officeDocument/2006/relationships/image" Target="../media/image5.emf"/><Relationship Id="rId37" Type="http://schemas.openxmlformats.org/officeDocument/2006/relationships/image" Target="../media/image39.emf"/><Relationship Id="rId40" Type="http://schemas.openxmlformats.org/officeDocument/2006/relationships/image" Target="../media/image36.emf"/><Relationship Id="rId5" Type="http://schemas.openxmlformats.org/officeDocument/2006/relationships/image" Target="../media/image10.emf"/><Relationship Id="rId15" Type="http://schemas.openxmlformats.org/officeDocument/2006/relationships/image" Target="../media/image20.emf"/><Relationship Id="rId23" Type="http://schemas.openxmlformats.org/officeDocument/2006/relationships/image" Target="../media/image28.emf"/><Relationship Id="rId28" Type="http://schemas.openxmlformats.org/officeDocument/2006/relationships/image" Target="../media/image33.emf"/><Relationship Id="rId36" Type="http://schemas.openxmlformats.org/officeDocument/2006/relationships/image" Target="../media/image40.emf"/><Relationship Id="rId10" Type="http://schemas.openxmlformats.org/officeDocument/2006/relationships/image" Target="../media/image15.emf"/><Relationship Id="rId19" Type="http://schemas.openxmlformats.org/officeDocument/2006/relationships/image" Target="../media/image24.emf"/><Relationship Id="rId31" Type="http://schemas.openxmlformats.org/officeDocument/2006/relationships/image" Target="../media/image41.emf"/><Relationship Id="rId4" Type="http://schemas.openxmlformats.org/officeDocument/2006/relationships/image" Target="../media/image9.emf"/><Relationship Id="rId9" Type="http://schemas.openxmlformats.org/officeDocument/2006/relationships/image" Target="../media/image14.emf"/><Relationship Id="rId14" Type="http://schemas.openxmlformats.org/officeDocument/2006/relationships/image" Target="../media/image19.emf"/><Relationship Id="rId22" Type="http://schemas.openxmlformats.org/officeDocument/2006/relationships/image" Target="../media/image27.emf"/><Relationship Id="rId27" Type="http://schemas.openxmlformats.org/officeDocument/2006/relationships/image" Target="../media/image32.emf"/><Relationship Id="rId30" Type="http://schemas.openxmlformats.org/officeDocument/2006/relationships/image" Target="../media/image35.emf"/><Relationship Id="rId35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42334</xdr:colOff>
      <xdr:row>0</xdr:row>
      <xdr:rowOff>121710</xdr:rowOff>
    </xdr:from>
    <xdr:to>
      <xdr:col>8</xdr:col>
      <xdr:colOff>1005417</xdr:colOff>
      <xdr:row>7</xdr:row>
      <xdr:rowOff>10585</xdr:rowOff>
    </xdr:to>
    <xdr:sp macro="[0]!Create_Record" textlink="">
      <xdr:nvSpPr>
        <xdr:cNvPr id="2" name="Rounded Rectangle 1"/>
        <xdr:cNvSpPr/>
      </xdr:nvSpPr>
      <xdr:spPr>
        <a:xfrm>
          <a:off x="709084" y="121710"/>
          <a:ext cx="3201458" cy="1079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Create Therapy Log</a:t>
          </a:r>
        </a:p>
      </xdr:txBody>
    </xdr:sp>
    <xdr:clientData fLocksWithSheet="0"/>
  </xdr:twoCellAnchor>
  <xdr:oneCellAnchor>
    <xdr:from>
      <xdr:col>0</xdr:col>
      <xdr:colOff>0</xdr:colOff>
      <xdr:row>0</xdr:row>
      <xdr:rowOff>0</xdr:rowOff>
    </xdr:from>
    <xdr:ext cx="8170370" cy="4304762"/>
    <xdr:pic macro="[1]!Picture3_Click">
      <xdr:nvPicPr>
        <xdr:cNvPr id="3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70370" cy="430476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76200</xdr:colOff>
          <xdr:row>8</xdr:row>
          <xdr:rowOff>9525</xdr:rowOff>
        </xdr:from>
        <xdr:to>
          <xdr:col>31</xdr:col>
          <xdr:colOff>228600</xdr:colOff>
          <xdr:row>8</xdr:row>
          <xdr:rowOff>152400</xdr:rowOff>
        </xdr:to>
        <xdr:sp macro="" textlink="">
          <xdr:nvSpPr>
            <xdr:cNvPr id="2341" name="CheckBox36" hidden="1">
              <a:extLst>
                <a:ext uri="{63B3BB69-23CF-44E3-9099-C40C66FF867C}">
                  <a14:compatExt spid="_x0000_s2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76200</xdr:colOff>
          <xdr:row>8</xdr:row>
          <xdr:rowOff>9525</xdr:rowOff>
        </xdr:from>
        <xdr:to>
          <xdr:col>30</xdr:col>
          <xdr:colOff>228600</xdr:colOff>
          <xdr:row>8</xdr:row>
          <xdr:rowOff>152400</xdr:rowOff>
        </xdr:to>
        <xdr:sp macro="" textlink="">
          <xdr:nvSpPr>
            <xdr:cNvPr id="2340" name="CheckBox35" hidden="1">
              <a:extLst>
                <a:ext uri="{63B3BB69-23CF-44E3-9099-C40C66FF867C}">
                  <a14:compatExt spid="_x0000_s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8</xdr:row>
          <xdr:rowOff>9525</xdr:rowOff>
        </xdr:from>
        <xdr:to>
          <xdr:col>29</xdr:col>
          <xdr:colOff>228600</xdr:colOff>
          <xdr:row>8</xdr:row>
          <xdr:rowOff>152400</xdr:rowOff>
        </xdr:to>
        <xdr:sp macro="" textlink="">
          <xdr:nvSpPr>
            <xdr:cNvPr id="2339" name="CheckBox34" hidden="1">
              <a:extLst>
                <a:ext uri="{63B3BB69-23CF-44E3-9099-C40C66FF867C}">
                  <a14:compatExt spid="_x0000_s2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76200</xdr:colOff>
          <xdr:row>8</xdr:row>
          <xdr:rowOff>9525</xdr:rowOff>
        </xdr:from>
        <xdr:to>
          <xdr:col>28</xdr:col>
          <xdr:colOff>228600</xdr:colOff>
          <xdr:row>8</xdr:row>
          <xdr:rowOff>152400</xdr:rowOff>
        </xdr:to>
        <xdr:sp macro="" textlink="">
          <xdr:nvSpPr>
            <xdr:cNvPr id="2338" name="CheckBox33" hidden="1">
              <a:extLst>
                <a:ext uri="{63B3BB69-23CF-44E3-9099-C40C66FF867C}">
                  <a14:compatExt spid="_x0000_s2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76200</xdr:colOff>
          <xdr:row>8</xdr:row>
          <xdr:rowOff>9525</xdr:rowOff>
        </xdr:from>
        <xdr:to>
          <xdr:col>27</xdr:col>
          <xdr:colOff>228600</xdr:colOff>
          <xdr:row>8</xdr:row>
          <xdr:rowOff>152400</xdr:rowOff>
        </xdr:to>
        <xdr:sp macro="" textlink="">
          <xdr:nvSpPr>
            <xdr:cNvPr id="2337" name="CheckBox32" hidden="1">
              <a:extLst>
                <a:ext uri="{63B3BB69-23CF-44E3-9099-C40C66FF867C}">
                  <a14:compatExt spid="_x0000_s2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8</xdr:row>
          <xdr:rowOff>9525</xdr:rowOff>
        </xdr:from>
        <xdr:to>
          <xdr:col>26</xdr:col>
          <xdr:colOff>228600</xdr:colOff>
          <xdr:row>8</xdr:row>
          <xdr:rowOff>152400</xdr:rowOff>
        </xdr:to>
        <xdr:sp macro="" textlink="">
          <xdr:nvSpPr>
            <xdr:cNvPr id="2336" name="CheckBox31" hidden="1">
              <a:extLst>
                <a:ext uri="{63B3BB69-23CF-44E3-9099-C40C66FF867C}">
                  <a14:compatExt spid="_x0000_s2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8</xdr:row>
          <xdr:rowOff>9525</xdr:rowOff>
        </xdr:from>
        <xdr:to>
          <xdr:col>25</xdr:col>
          <xdr:colOff>228600</xdr:colOff>
          <xdr:row>8</xdr:row>
          <xdr:rowOff>152400</xdr:rowOff>
        </xdr:to>
        <xdr:sp macro="" textlink="">
          <xdr:nvSpPr>
            <xdr:cNvPr id="2335" name="CheckBox30" hidden="1">
              <a:extLst>
                <a:ext uri="{63B3BB69-23CF-44E3-9099-C40C66FF867C}">
                  <a14:compatExt spid="_x0000_s2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8</xdr:row>
          <xdr:rowOff>9525</xdr:rowOff>
        </xdr:from>
        <xdr:to>
          <xdr:col>24</xdr:col>
          <xdr:colOff>228600</xdr:colOff>
          <xdr:row>8</xdr:row>
          <xdr:rowOff>152400</xdr:rowOff>
        </xdr:to>
        <xdr:sp macro="" textlink="">
          <xdr:nvSpPr>
            <xdr:cNvPr id="2334" name="CheckBox29" hidden="1">
              <a:extLst>
                <a:ext uri="{63B3BB69-23CF-44E3-9099-C40C66FF867C}">
                  <a14:compatExt spid="_x0000_s2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8</xdr:row>
          <xdr:rowOff>9525</xdr:rowOff>
        </xdr:from>
        <xdr:to>
          <xdr:col>23</xdr:col>
          <xdr:colOff>228600</xdr:colOff>
          <xdr:row>8</xdr:row>
          <xdr:rowOff>152400</xdr:rowOff>
        </xdr:to>
        <xdr:sp macro="" textlink="">
          <xdr:nvSpPr>
            <xdr:cNvPr id="2333" name="CheckBox28" hidden="1">
              <a:extLst>
                <a:ext uri="{63B3BB69-23CF-44E3-9099-C40C66FF867C}">
                  <a14:compatExt spid="_x0000_s2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76200</xdr:colOff>
          <xdr:row>8</xdr:row>
          <xdr:rowOff>9525</xdr:rowOff>
        </xdr:from>
        <xdr:to>
          <xdr:col>22</xdr:col>
          <xdr:colOff>228600</xdr:colOff>
          <xdr:row>8</xdr:row>
          <xdr:rowOff>152400</xdr:rowOff>
        </xdr:to>
        <xdr:sp macro="" textlink="">
          <xdr:nvSpPr>
            <xdr:cNvPr id="2332" name="CheckBox27" hidden="1">
              <a:extLst>
                <a:ext uri="{63B3BB69-23CF-44E3-9099-C40C66FF867C}">
                  <a14:compatExt spid="_x0000_s2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8</xdr:row>
          <xdr:rowOff>9525</xdr:rowOff>
        </xdr:from>
        <xdr:to>
          <xdr:col>21</xdr:col>
          <xdr:colOff>228600</xdr:colOff>
          <xdr:row>8</xdr:row>
          <xdr:rowOff>152400</xdr:rowOff>
        </xdr:to>
        <xdr:sp macro="" textlink="">
          <xdr:nvSpPr>
            <xdr:cNvPr id="2330" name="CheckBox26" hidden="1">
              <a:extLst>
                <a:ext uri="{63B3BB69-23CF-44E3-9099-C40C66FF867C}">
                  <a14:compatExt spid="_x0000_s2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8</xdr:row>
          <xdr:rowOff>9525</xdr:rowOff>
        </xdr:from>
        <xdr:to>
          <xdr:col>20</xdr:col>
          <xdr:colOff>228600</xdr:colOff>
          <xdr:row>8</xdr:row>
          <xdr:rowOff>152400</xdr:rowOff>
        </xdr:to>
        <xdr:sp macro="" textlink="">
          <xdr:nvSpPr>
            <xdr:cNvPr id="2329" name="CheckBox25" hidden="1">
              <a:extLst>
                <a:ext uri="{63B3BB69-23CF-44E3-9099-C40C66FF867C}">
                  <a14:compatExt spid="_x0000_s2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8</xdr:row>
          <xdr:rowOff>9525</xdr:rowOff>
        </xdr:from>
        <xdr:to>
          <xdr:col>19</xdr:col>
          <xdr:colOff>228600</xdr:colOff>
          <xdr:row>8</xdr:row>
          <xdr:rowOff>152400</xdr:rowOff>
        </xdr:to>
        <xdr:sp macro="" textlink="">
          <xdr:nvSpPr>
            <xdr:cNvPr id="2328" name="CheckBox24" hidden="1">
              <a:extLst>
                <a:ext uri="{63B3BB69-23CF-44E3-9099-C40C66FF867C}">
                  <a14:compatExt spid="_x0000_s2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8</xdr:row>
          <xdr:rowOff>9525</xdr:rowOff>
        </xdr:from>
        <xdr:to>
          <xdr:col>18</xdr:col>
          <xdr:colOff>228600</xdr:colOff>
          <xdr:row>8</xdr:row>
          <xdr:rowOff>152400</xdr:rowOff>
        </xdr:to>
        <xdr:sp macro="" textlink="">
          <xdr:nvSpPr>
            <xdr:cNvPr id="2327" name="CheckBox23" hidden="1">
              <a:extLst>
                <a:ext uri="{63B3BB69-23CF-44E3-9099-C40C66FF867C}">
                  <a14:compatExt spid="_x0000_s2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8</xdr:row>
          <xdr:rowOff>9525</xdr:rowOff>
        </xdr:from>
        <xdr:to>
          <xdr:col>17</xdr:col>
          <xdr:colOff>228600</xdr:colOff>
          <xdr:row>8</xdr:row>
          <xdr:rowOff>152400</xdr:rowOff>
        </xdr:to>
        <xdr:sp macro="" textlink="">
          <xdr:nvSpPr>
            <xdr:cNvPr id="2326" name="CheckBox22" hidden="1">
              <a:extLst>
                <a:ext uri="{63B3BB69-23CF-44E3-9099-C40C66FF867C}">
                  <a14:compatExt spid="_x0000_s2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8</xdr:row>
          <xdr:rowOff>9525</xdr:rowOff>
        </xdr:from>
        <xdr:to>
          <xdr:col>16</xdr:col>
          <xdr:colOff>228600</xdr:colOff>
          <xdr:row>8</xdr:row>
          <xdr:rowOff>152400</xdr:rowOff>
        </xdr:to>
        <xdr:sp macro="" textlink="">
          <xdr:nvSpPr>
            <xdr:cNvPr id="2325" name="CheckBox21" hidden="1">
              <a:extLst>
                <a:ext uri="{63B3BB69-23CF-44E3-9099-C40C66FF867C}">
                  <a14:compatExt spid="_x0000_s2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8</xdr:row>
          <xdr:rowOff>9525</xdr:rowOff>
        </xdr:from>
        <xdr:to>
          <xdr:col>15</xdr:col>
          <xdr:colOff>228600</xdr:colOff>
          <xdr:row>8</xdr:row>
          <xdr:rowOff>152400</xdr:rowOff>
        </xdr:to>
        <xdr:sp macro="" textlink="">
          <xdr:nvSpPr>
            <xdr:cNvPr id="2324" name="CheckBox20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8</xdr:row>
          <xdr:rowOff>9525</xdr:rowOff>
        </xdr:from>
        <xdr:to>
          <xdr:col>14</xdr:col>
          <xdr:colOff>228600</xdr:colOff>
          <xdr:row>8</xdr:row>
          <xdr:rowOff>152400</xdr:rowOff>
        </xdr:to>
        <xdr:sp macro="" textlink="">
          <xdr:nvSpPr>
            <xdr:cNvPr id="2322" name="CheckBox19" hidden="1">
              <a:extLst>
                <a:ext uri="{63B3BB69-23CF-44E3-9099-C40C66FF867C}">
                  <a14:compatExt spid="_x0000_s2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8</xdr:row>
          <xdr:rowOff>9525</xdr:rowOff>
        </xdr:from>
        <xdr:to>
          <xdr:col>13</xdr:col>
          <xdr:colOff>228600</xdr:colOff>
          <xdr:row>8</xdr:row>
          <xdr:rowOff>152400</xdr:rowOff>
        </xdr:to>
        <xdr:sp macro="" textlink="">
          <xdr:nvSpPr>
            <xdr:cNvPr id="2320" name="CheckBox18" hidden="1">
              <a:extLst>
                <a:ext uri="{63B3BB69-23CF-44E3-9099-C40C66FF867C}">
                  <a14:compatExt spid="_x0000_s2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8</xdr:row>
          <xdr:rowOff>9525</xdr:rowOff>
        </xdr:from>
        <xdr:to>
          <xdr:col>12</xdr:col>
          <xdr:colOff>228600</xdr:colOff>
          <xdr:row>8</xdr:row>
          <xdr:rowOff>152400</xdr:rowOff>
        </xdr:to>
        <xdr:sp macro="" textlink="">
          <xdr:nvSpPr>
            <xdr:cNvPr id="2319" name="CheckBox17" hidden="1">
              <a:extLst>
                <a:ext uri="{63B3BB69-23CF-44E3-9099-C40C66FF867C}">
                  <a14:compatExt spid="_x0000_s2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8</xdr:row>
          <xdr:rowOff>9525</xdr:rowOff>
        </xdr:from>
        <xdr:to>
          <xdr:col>11</xdr:col>
          <xdr:colOff>228600</xdr:colOff>
          <xdr:row>8</xdr:row>
          <xdr:rowOff>152400</xdr:rowOff>
        </xdr:to>
        <xdr:sp macro="" textlink="">
          <xdr:nvSpPr>
            <xdr:cNvPr id="2318" name="CheckBox16" hidden="1">
              <a:extLst>
                <a:ext uri="{63B3BB69-23CF-44E3-9099-C40C66FF867C}">
                  <a14:compatExt spid="_x0000_s2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9525</xdr:rowOff>
        </xdr:from>
        <xdr:to>
          <xdr:col>10</xdr:col>
          <xdr:colOff>228600</xdr:colOff>
          <xdr:row>8</xdr:row>
          <xdr:rowOff>152400</xdr:rowOff>
        </xdr:to>
        <xdr:sp macro="" textlink="">
          <xdr:nvSpPr>
            <xdr:cNvPr id="2316" name="CheckBox15" hidden="1">
              <a:extLst>
                <a:ext uri="{63B3BB69-23CF-44E3-9099-C40C66FF867C}">
                  <a14:compatExt spid="_x0000_s2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8</xdr:row>
          <xdr:rowOff>9525</xdr:rowOff>
        </xdr:from>
        <xdr:to>
          <xdr:col>9</xdr:col>
          <xdr:colOff>228600</xdr:colOff>
          <xdr:row>8</xdr:row>
          <xdr:rowOff>152400</xdr:rowOff>
        </xdr:to>
        <xdr:sp macro="" textlink="">
          <xdr:nvSpPr>
            <xdr:cNvPr id="2315" name="CheckBox14" hidden="1">
              <a:extLst>
                <a:ext uri="{63B3BB69-23CF-44E3-9099-C40C66FF867C}">
                  <a14:compatExt spid="_x0000_s2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8</xdr:row>
          <xdr:rowOff>9525</xdr:rowOff>
        </xdr:from>
        <xdr:to>
          <xdr:col>8</xdr:col>
          <xdr:colOff>228600</xdr:colOff>
          <xdr:row>8</xdr:row>
          <xdr:rowOff>152400</xdr:rowOff>
        </xdr:to>
        <xdr:sp macro="" textlink="">
          <xdr:nvSpPr>
            <xdr:cNvPr id="2314" name="CheckBox13" hidden="1">
              <a:extLst>
                <a:ext uri="{63B3BB69-23CF-44E3-9099-C40C66FF867C}">
                  <a14:compatExt spid="_x0000_s2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</xdr:row>
          <xdr:rowOff>9525</xdr:rowOff>
        </xdr:from>
        <xdr:to>
          <xdr:col>7</xdr:col>
          <xdr:colOff>228600</xdr:colOff>
          <xdr:row>8</xdr:row>
          <xdr:rowOff>152400</xdr:rowOff>
        </xdr:to>
        <xdr:sp macro="" textlink="">
          <xdr:nvSpPr>
            <xdr:cNvPr id="2313" name="CheckBox12" hidden="1">
              <a:extLst>
                <a:ext uri="{63B3BB69-23CF-44E3-9099-C40C66FF867C}">
                  <a14:compatExt spid="_x0000_s2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8</xdr:row>
          <xdr:rowOff>9525</xdr:rowOff>
        </xdr:from>
        <xdr:to>
          <xdr:col>6</xdr:col>
          <xdr:colOff>228600</xdr:colOff>
          <xdr:row>8</xdr:row>
          <xdr:rowOff>152400</xdr:rowOff>
        </xdr:to>
        <xdr:sp macro="" textlink="">
          <xdr:nvSpPr>
            <xdr:cNvPr id="2312" name="CheckBox11" hidden="1">
              <a:extLst>
                <a:ext uri="{63B3BB69-23CF-44E3-9099-C40C66FF867C}">
                  <a14:compatExt spid="_x0000_s2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9525</xdr:rowOff>
        </xdr:from>
        <xdr:to>
          <xdr:col>5</xdr:col>
          <xdr:colOff>228600</xdr:colOff>
          <xdr:row>8</xdr:row>
          <xdr:rowOff>152400</xdr:rowOff>
        </xdr:to>
        <xdr:sp macro="" textlink="">
          <xdr:nvSpPr>
            <xdr:cNvPr id="2311" name="CheckBox10" hidden="1">
              <a:extLst>
                <a:ext uri="{63B3BB69-23CF-44E3-9099-C40C66FF867C}">
                  <a14:compatExt spid="_x0000_s2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8</xdr:row>
          <xdr:rowOff>9525</xdr:rowOff>
        </xdr:from>
        <xdr:to>
          <xdr:col>4</xdr:col>
          <xdr:colOff>228600</xdr:colOff>
          <xdr:row>8</xdr:row>
          <xdr:rowOff>152400</xdr:rowOff>
        </xdr:to>
        <xdr:sp macro="" textlink="">
          <xdr:nvSpPr>
            <xdr:cNvPr id="2310" name="CheckBox9" hidden="1">
              <a:extLst>
                <a:ext uri="{63B3BB69-23CF-44E3-9099-C40C66FF867C}">
                  <a14:compatExt spid="_x0000_s2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8</xdr:row>
          <xdr:rowOff>9525</xdr:rowOff>
        </xdr:from>
        <xdr:to>
          <xdr:col>3</xdr:col>
          <xdr:colOff>228600</xdr:colOff>
          <xdr:row>8</xdr:row>
          <xdr:rowOff>152400</xdr:rowOff>
        </xdr:to>
        <xdr:sp macro="" textlink="">
          <xdr:nvSpPr>
            <xdr:cNvPr id="2309" name="CheckBox8" hidden="1">
              <a:extLst>
                <a:ext uri="{63B3BB69-23CF-44E3-9099-C40C66FF867C}">
                  <a14:compatExt spid="_x0000_s2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8</xdr:row>
          <xdr:rowOff>9525</xdr:rowOff>
        </xdr:from>
        <xdr:to>
          <xdr:col>2</xdr:col>
          <xdr:colOff>228600</xdr:colOff>
          <xdr:row>8</xdr:row>
          <xdr:rowOff>152400</xdr:rowOff>
        </xdr:to>
        <xdr:sp macro="" textlink="">
          <xdr:nvSpPr>
            <xdr:cNvPr id="2308" name="CheckBox7" hidden="1">
              <a:extLst>
                <a:ext uri="{63B3BB69-23CF-44E3-9099-C40C66FF867C}">
                  <a14:compatExt spid="_x0000_s2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8</xdr:row>
          <xdr:rowOff>9525</xdr:rowOff>
        </xdr:from>
        <xdr:to>
          <xdr:col>1</xdr:col>
          <xdr:colOff>228600</xdr:colOff>
          <xdr:row>8</xdr:row>
          <xdr:rowOff>152400</xdr:rowOff>
        </xdr:to>
        <xdr:sp macro="" textlink="">
          <xdr:nvSpPr>
            <xdr:cNvPr id="2300" name="CheckBox6" hidden="1">
              <a:extLst>
                <a:ext uri="{63B3BB69-23CF-44E3-9099-C40C66FF867C}">
                  <a14:compatExt spid="_x0000_s2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180975</xdr:rowOff>
        </xdr:from>
        <xdr:to>
          <xdr:col>0</xdr:col>
          <xdr:colOff>457200</xdr:colOff>
          <xdr:row>0</xdr:row>
          <xdr:rowOff>323850</xdr:rowOff>
        </xdr:to>
        <xdr:sp macro="" textlink="">
          <xdr:nvSpPr>
            <xdr:cNvPr id="2344" name="CheckBox37" hidden="1">
              <a:extLst>
                <a:ext uri="{63B3BB69-23CF-44E3-9099-C40C66FF867C}">
                  <a14:compatExt spid="_x0000_s2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0</xdr:row>
          <xdr:rowOff>180975</xdr:rowOff>
        </xdr:from>
        <xdr:to>
          <xdr:col>0</xdr:col>
          <xdr:colOff>1114425</xdr:colOff>
          <xdr:row>0</xdr:row>
          <xdr:rowOff>323850</xdr:rowOff>
        </xdr:to>
        <xdr:sp macro="" textlink="">
          <xdr:nvSpPr>
            <xdr:cNvPr id="2345" name="CheckBox38" hidden="1">
              <a:extLst>
                <a:ext uri="{63B3BB69-23CF-44E3-9099-C40C66FF867C}">
                  <a14:compatExt spid="_x0000_s2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0</xdr:col>
      <xdr:colOff>432953</xdr:colOff>
      <xdr:row>0</xdr:row>
      <xdr:rowOff>129886</xdr:rowOff>
    </xdr:from>
    <xdr:ext cx="404021" cy="254493"/>
    <xdr:sp macro="" textlink="">
      <xdr:nvSpPr>
        <xdr:cNvPr id="4" name="TextBox 3"/>
        <xdr:cNvSpPr txBox="1"/>
      </xdr:nvSpPr>
      <xdr:spPr>
        <a:xfrm>
          <a:off x="432953" y="129886"/>
          <a:ext cx="404021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Yes</a:t>
          </a:r>
        </a:p>
      </xdr:txBody>
    </xdr:sp>
    <xdr:clientData/>
  </xdr:oneCellAnchor>
  <xdr:oneCellAnchor>
    <xdr:from>
      <xdr:col>0</xdr:col>
      <xdr:colOff>1108352</xdr:colOff>
      <xdr:row>0</xdr:row>
      <xdr:rowOff>129885</xdr:rowOff>
    </xdr:from>
    <xdr:ext cx="357085" cy="254493"/>
    <xdr:sp macro="" textlink="">
      <xdr:nvSpPr>
        <xdr:cNvPr id="175" name="TextBox 174"/>
        <xdr:cNvSpPr txBox="1"/>
      </xdr:nvSpPr>
      <xdr:spPr>
        <a:xfrm>
          <a:off x="1108352" y="129885"/>
          <a:ext cx="35708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No</a:t>
          </a:r>
        </a:p>
      </xdr:txBody>
    </xdr:sp>
    <xdr:clientData/>
  </xdr:oneCellAnchor>
  <xdr:oneCellAnchor>
    <xdr:from>
      <xdr:col>5</xdr:col>
      <xdr:colOff>147204</xdr:colOff>
      <xdr:row>0</xdr:row>
      <xdr:rowOff>129886</xdr:rowOff>
    </xdr:from>
    <xdr:ext cx="357085" cy="254493"/>
    <xdr:sp macro="" textlink="">
      <xdr:nvSpPr>
        <xdr:cNvPr id="180" name="TextBox 179"/>
        <xdr:cNvSpPr txBox="1"/>
      </xdr:nvSpPr>
      <xdr:spPr>
        <a:xfrm>
          <a:off x="3108613" y="129886"/>
          <a:ext cx="35708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No</a:t>
          </a:r>
        </a:p>
      </xdr:txBody>
    </xdr:sp>
    <xdr:clientData/>
  </xdr:oneCellAnchor>
  <xdr:oneCellAnchor>
    <xdr:from>
      <xdr:col>3</xdr:col>
      <xdr:colOff>51955</xdr:colOff>
      <xdr:row>0</xdr:row>
      <xdr:rowOff>121227</xdr:rowOff>
    </xdr:from>
    <xdr:ext cx="404021" cy="254493"/>
    <xdr:sp macro="" textlink="">
      <xdr:nvSpPr>
        <xdr:cNvPr id="178" name="TextBox 177"/>
        <xdr:cNvSpPr txBox="1"/>
      </xdr:nvSpPr>
      <xdr:spPr>
        <a:xfrm>
          <a:off x="2441864" y="121227"/>
          <a:ext cx="404021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Yes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0</xdr:row>
          <xdr:rowOff>190500</xdr:rowOff>
        </xdr:from>
        <xdr:to>
          <xdr:col>3</xdr:col>
          <xdr:colOff>66675</xdr:colOff>
          <xdr:row>0</xdr:row>
          <xdr:rowOff>333375</xdr:rowOff>
        </xdr:to>
        <xdr:sp macro="" textlink="">
          <xdr:nvSpPr>
            <xdr:cNvPr id="2346" name="CheckBox39" hidden="1">
              <a:extLst>
                <a:ext uri="{63B3BB69-23CF-44E3-9099-C40C66FF867C}">
                  <a14:compatExt spid="_x0000_s2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190500</xdr:rowOff>
        </xdr:from>
        <xdr:to>
          <xdr:col>5</xdr:col>
          <xdr:colOff>152400</xdr:colOff>
          <xdr:row>0</xdr:row>
          <xdr:rowOff>333375</xdr:rowOff>
        </xdr:to>
        <xdr:sp macro="" textlink="">
          <xdr:nvSpPr>
            <xdr:cNvPr id="2347" name="CheckBox40" hidden="1">
              <a:extLst>
                <a:ext uri="{63B3BB69-23CF-44E3-9099-C40C66FF867C}">
                  <a14:compatExt spid="_x0000_s2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35</xdr:col>
      <xdr:colOff>329045</xdr:colOff>
      <xdr:row>0</xdr:row>
      <xdr:rowOff>77930</xdr:rowOff>
    </xdr:from>
    <xdr:to>
      <xdr:col>37</xdr:col>
      <xdr:colOff>398317</xdr:colOff>
      <xdr:row>2</xdr:row>
      <xdr:rowOff>147203</xdr:rowOff>
    </xdr:to>
    <xdr:sp macro="[0]!show_Hide_Checkboxes" textlink="">
      <xdr:nvSpPr>
        <xdr:cNvPr id="6" name="Rounded Rectangle 5"/>
        <xdr:cNvSpPr/>
      </xdr:nvSpPr>
      <xdr:spPr>
        <a:xfrm>
          <a:off x="12642272" y="77930"/>
          <a:ext cx="1281545" cy="528205"/>
        </a:xfrm>
        <a:prstGeom prst="round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Show/Hide</a:t>
          </a:r>
          <a:r>
            <a:rPr lang="en-US" sz="1100" baseline="0">
              <a:solidFill>
                <a:schemeClr val="bg1"/>
              </a:solidFill>
            </a:rPr>
            <a:t> Grid Reconciling Tool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33</xdr:col>
      <xdr:colOff>268431</xdr:colOff>
      <xdr:row>13</xdr:row>
      <xdr:rowOff>103917</xdr:rowOff>
    </xdr:from>
    <xdr:to>
      <xdr:col>37</xdr:col>
      <xdr:colOff>404206</xdr:colOff>
      <xdr:row>16</xdr:row>
      <xdr:rowOff>117772</xdr:rowOff>
    </xdr:to>
    <xdr:sp macro="[0]!Display_Treatment_Frequency" textlink="">
      <xdr:nvSpPr>
        <xdr:cNvPr id="169" name="Rounded Rectangle 168"/>
        <xdr:cNvSpPr/>
      </xdr:nvSpPr>
      <xdr:spPr>
        <a:xfrm>
          <a:off x="11369386" y="2926781"/>
          <a:ext cx="256032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Daily</a:t>
          </a:r>
          <a:r>
            <a:rPr lang="en-US" sz="2000" b="1" baseline="0"/>
            <a:t> Treatment Frequency Note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57150</xdr:rowOff>
        </xdr:from>
        <xdr:to>
          <xdr:col>0</xdr:col>
          <xdr:colOff>219075</xdr:colOff>
          <xdr:row>2</xdr:row>
          <xdr:rowOff>0</xdr:rowOff>
        </xdr:to>
        <xdr:sp macro="" textlink="">
          <xdr:nvSpPr>
            <xdr:cNvPr id="2049" name="Check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847725</xdr:colOff>
          <xdr:row>1</xdr:row>
          <xdr:rowOff>47625</xdr:rowOff>
        </xdr:from>
        <xdr:to>
          <xdr:col>0</xdr:col>
          <xdr:colOff>1000125</xdr:colOff>
          <xdr:row>1</xdr:row>
          <xdr:rowOff>190500</xdr:rowOff>
        </xdr:to>
        <xdr:sp macro="" textlink="">
          <xdr:nvSpPr>
            <xdr:cNvPr id="2050" name="Check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</xdr:row>
          <xdr:rowOff>47625</xdr:rowOff>
        </xdr:from>
        <xdr:to>
          <xdr:col>1</xdr:col>
          <xdr:colOff>266700</xdr:colOff>
          <xdr:row>1</xdr:row>
          <xdr:rowOff>190500</xdr:rowOff>
        </xdr:to>
        <xdr:sp macro="" textlink="">
          <xdr:nvSpPr>
            <xdr:cNvPr id="2051" name="Check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</xdr:row>
          <xdr:rowOff>57150</xdr:rowOff>
        </xdr:from>
        <xdr:to>
          <xdr:col>4</xdr:col>
          <xdr:colOff>219075</xdr:colOff>
          <xdr:row>2</xdr:row>
          <xdr:rowOff>0</xdr:rowOff>
        </xdr:to>
        <xdr:sp macro="" textlink="">
          <xdr:nvSpPr>
            <xdr:cNvPr id="2052" name="CheckBox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1</xdr:row>
          <xdr:rowOff>47625</xdr:rowOff>
        </xdr:from>
        <xdr:to>
          <xdr:col>7</xdr:col>
          <xdr:colOff>238125</xdr:colOff>
          <xdr:row>1</xdr:row>
          <xdr:rowOff>190500</xdr:rowOff>
        </xdr:to>
        <xdr:sp macro="" textlink="">
          <xdr:nvSpPr>
            <xdr:cNvPr id="2053" name="CheckBox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9525</xdr:rowOff>
        </xdr:from>
        <xdr:to>
          <xdr:col>1</xdr:col>
          <xdr:colOff>295275</xdr:colOff>
          <xdr:row>30</xdr:row>
          <xdr:rowOff>0</xdr:rowOff>
        </xdr:to>
        <xdr:sp macro="" textlink="">
          <xdr:nvSpPr>
            <xdr:cNvPr id="2058" name="Label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9525</xdr:rowOff>
        </xdr:from>
        <xdr:to>
          <xdr:col>7</xdr:col>
          <xdr:colOff>0</xdr:colOff>
          <xdr:row>30</xdr:row>
          <xdr:rowOff>295275</xdr:rowOff>
        </xdr:to>
        <xdr:sp macro="" textlink="">
          <xdr:nvSpPr>
            <xdr:cNvPr id="2060" name="Label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9525</xdr:rowOff>
        </xdr:from>
        <xdr:to>
          <xdr:col>3</xdr:col>
          <xdr:colOff>9525</xdr:colOff>
          <xdr:row>29</xdr:row>
          <xdr:rowOff>295275</xdr:rowOff>
        </xdr:to>
        <xdr:sp macro="" textlink="">
          <xdr:nvSpPr>
            <xdr:cNvPr id="2061" name="Label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30</xdr:row>
          <xdr:rowOff>9525</xdr:rowOff>
        </xdr:from>
        <xdr:to>
          <xdr:col>2</xdr:col>
          <xdr:colOff>276225</xdr:colOff>
          <xdr:row>31</xdr:row>
          <xdr:rowOff>0</xdr:rowOff>
        </xdr:to>
        <xdr:sp macro="" textlink="">
          <xdr:nvSpPr>
            <xdr:cNvPr id="2062" name="Label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29</xdr:row>
          <xdr:rowOff>0</xdr:rowOff>
        </xdr:from>
        <xdr:to>
          <xdr:col>3</xdr:col>
          <xdr:colOff>276225</xdr:colOff>
          <xdr:row>30</xdr:row>
          <xdr:rowOff>9525</xdr:rowOff>
        </xdr:to>
        <xdr:sp macro="" textlink="">
          <xdr:nvSpPr>
            <xdr:cNvPr id="2063" name="Label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30</xdr:row>
          <xdr:rowOff>9525</xdr:rowOff>
        </xdr:from>
        <xdr:to>
          <xdr:col>3</xdr:col>
          <xdr:colOff>276225</xdr:colOff>
          <xdr:row>31</xdr:row>
          <xdr:rowOff>0</xdr:rowOff>
        </xdr:to>
        <xdr:sp macro="" textlink="">
          <xdr:nvSpPr>
            <xdr:cNvPr id="2064" name="Label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29</xdr:row>
          <xdr:rowOff>0</xdr:rowOff>
        </xdr:from>
        <xdr:to>
          <xdr:col>4</xdr:col>
          <xdr:colOff>276225</xdr:colOff>
          <xdr:row>30</xdr:row>
          <xdr:rowOff>9525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29</xdr:row>
          <xdr:rowOff>0</xdr:rowOff>
        </xdr:from>
        <xdr:to>
          <xdr:col>5</xdr:col>
          <xdr:colOff>276225</xdr:colOff>
          <xdr:row>30</xdr:row>
          <xdr:rowOff>9525</xdr:rowOff>
        </xdr:to>
        <xdr:sp macro="" textlink="">
          <xdr:nvSpPr>
            <xdr:cNvPr id="2127" name="Label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29</xdr:row>
          <xdr:rowOff>0</xdr:rowOff>
        </xdr:from>
        <xdr:to>
          <xdr:col>6</xdr:col>
          <xdr:colOff>276225</xdr:colOff>
          <xdr:row>30</xdr:row>
          <xdr:rowOff>9525</xdr:rowOff>
        </xdr:to>
        <xdr:sp macro="" textlink="">
          <xdr:nvSpPr>
            <xdr:cNvPr id="2131" name="Label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29</xdr:row>
          <xdr:rowOff>0</xdr:rowOff>
        </xdr:from>
        <xdr:to>
          <xdr:col>7</xdr:col>
          <xdr:colOff>276225</xdr:colOff>
          <xdr:row>30</xdr:row>
          <xdr:rowOff>9525</xdr:rowOff>
        </xdr:to>
        <xdr:sp macro="" textlink="">
          <xdr:nvSpPr>
            <xdr:cNvPr id="2133" name="Label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9525</xdr:rowOff>
        </xdr:to>
        <xdr:sp macro="" textlink="">
          <xdr:nvSpPr>
            <xdr:cNvPr id="2135" name="Label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29</xdr:row>
          <xdr:rowOff>0</xdr:rowOff>
        </xdr:from>
        <xdr:to>
          <xdr:col>9</xdr:col>
          <xdr:colOff>276225</xdr:colOff>
          <xdr:row>30</xdr:row>
          <xdr:rowOff>9525</xdr:rowOff>
        </xdr:to>
        <xdr:sp macro="" textlink="">
          <xdr:nvSpPr>
            <xdr:cNvPr id="2137" name="Label 89" hidden="1">
              <a:extLst>
                <a:ext uri="{63B3BB69-23CF-44E3-9099-C40C66FF867C}">
                  <a14:compatExt spid="_x0000_s2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29</xdr:row>
          <xdr:rowOff>0</xdr:rowOff>
        </xdr:from>
        <xdr:to>
          <xdr:col>10</xdr:col>
          <xdr:colOff>276225</xdr:colOff>
          <xdr:row>30</xdr:row>
          <xdr:rowOff>9525</xdr:rowOff>
        </xdr:to>
        <xdr:sp macro="" textlink="">
          <xdr:nvSpPr>
            <xdr:cNvPr id="2139" name="Label 91" hidden="1">
              <a:extLst>
                <a:ext uri="{63B3BB69-23CF-44E3-9099-C40C66FF867C}">
                  <a14:compatExt spid="_x0000_s2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29</xdr:row>
          <xdr:rowOff>0</xdr:rowOff>
        </xdr:from>
        <xdr:to>
          <xdr:col>11</xdr:col>
          <xdr:colOff>276225</xdr:colOff>
          <xdr:row>30</xdr:row>
          <xdr:rowOff>9525</xdr:rowOff>
        </xdr:to>
        <xdr:sp macro="" textlink="">
          <xdr:nvSpPr>
            <xdr:cNvPr id="2141" name="Label 93" hidden="1">
              <a:extLst>
                <a:ext uri="{63B3BB69-23CF-44E3-9099-C40C66FF867C}">
                  <a14:compatExt spid="_x0000_s2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29</xdr:row>
          <xdr:rowOff>0</xdr:rowOff>
        </xdr:from>
        <xdr:to>
          <xdr:col>12</xdr:col>
          <xdr:colOff>276225</xdr:colOff>
          <xdr:row>30</xdr:row>
          <xdr:rowOff>9525</xdr:rowOff>
        </xdr:to>
        <xdr:sp macro="" textlink="">
          <xdr:nvSpPr>
            <xdr:cNvPr id="2143" name="Label 95" hidden="1">
              <a:extLst>
                <a:ext uri="{63B3BB69-23CF-44E3-9099-C40C66FF867C}">
                  <a14:compatExt spid="_x0000_s2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29</xdr:row>
          <xdr:rowOff>0</xdr:rowOff>
        </xdr:from>
        <xdr:to>
          <xdr:col>13</xdr:col>
          <xdr:colOff>276225</xdr:colOff>
          <xdr:row>30</xdr:row>
          <xdr:rowOff>9525</xdr:rowOff>
        </xdr:to>
        <xdr:sp macro="" textlink="">
          <xdr:nvSpPr>
            <xdr:cNvPr id="2145" name="Label 97" hidden="1">
              <a:extLst>
                <a:ext uri="{63B3BB69-23CF-44E3-9099-C40C66FF867C}">
                  <a14:compatExt spid="_x0000_s2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29</xdr:row>
          <xdr:rowOff>0</xdr:rowOff>
        </xdr:from>
        <xdr:to>
          <xdr:col>14</xdr:col>
          <xdr:colOff>276225</xdr:colOff>
          <xdr:row>30</xdr:row>
          <xdr:rowOff>9525</xdr:rowOff>
        </xdr:to>
        <xdr:sp macro="" textlink="">
          <xdr:nvSpPr>
            <xdr:cNvPr id="2147" name="Label 99" hidden="1">
              <a:extLst>
                <a:ext uri="{63B3BB69-23CF-44E3-9099-C40C66FF867C}">
                  <a14:compatExt spid="_x0000_s2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29</xdr:row>
          <xdr:rowOff>0</xdr:rowOff>
        </xdr:from>
        <xdr:to>
          <xdr:col>15</xdr:col>
          <xdr:colOff>276225</xdr:colOff>
          <xdr:row>30</xdr:row>
          <xdr:rowOff>9525</xdr:rowOff>
        </xdr:to>
        <xdr:sp macro="" textlink="">
          <xdr:nvSpPr>
            <xdr:cNvPr id="2149" name="Label 101" hidden="1">
              <a:extLst>
                <a:ext uri="{63B3BB69-23CF-44E3-9099-C40C66FF867C}">
                  <a14:compatExt spid="_x0000_s2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29</xdr:row>
          <xdr:rowOff>0</xdr:rowOff>
        </xdr:from>
        <xdr:to>
          <xdr:col>16</xdr:col>
          <xdr:colOff>276225</xdr:colOff>
          <xdr:row>30</xdr:row>
          <xdr:rowOff>9525</xdr:rowOff>
        </xdr:to>
        <xdr:sp macro="" textlink="">
          <xdr:nvSpPr>
            <xdr:cNvPr id="2151" name="Label 103" hidden="1">
              <a:extLst>
                <a:ext uri="{63B3BB69-23CF-44E3-9099-C40C66FF867C}">
                  <a14:compatExt spid="_x0000_s2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276225</xdr:colOff>
          <xdr:row>29</xdr:row>
          <xdr:rowOff>0</xdr:rowOff>
        </xdr:from>
        <xdr:to>
          <xdr:col>17</xdr:col>
          <xdr:colOff>276225</xdr:colOff>
          <xdr:row>30</xdr:row>
          <xdr:rowOff>9525</xdr:rowOff>
        </xdr:to>
        <xdr:sp macro="" textlink="">
          <xdr:nvSpPr>
            <xdr:cNvPr id="2153" name="Label 105" hidden="1">
              <a:extLst>
                <a:ext uri="{63B3BB69-23CF-44E3-9099-C40C66FF867C}">
                  <a14:compatExt spid="_x0000_s2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276225</xdr:colOff>
          <xdr:row>29</xdr:row>
          <xdr:rowOff>0</xdr:rowOff>
        </xdr:from>
        <xdr:to>
          <xdr:col>18</xdr:col>
          <xdr:colOff>276225</xdr:colOff>
          <xdr:row>30</xdr:row>
          <xdr:rowOff>9525</xdr:rowOff>
        </xdr:to>
        <xdr:sp macro="" textlink="">
          <xdr:nvSpPr>
            <xdr:cNvPr id="2155" name="Label 107" hidden="1">
              <a:extLst>
                <a:ext uri="{63B3BB69-23CF-44E3-9099-C40C66FF867C}">
                  <a14:compatExt spid="_x0000_s2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276225</xdr:colOff>
          <xdr:row>29</xdr:row>
          <xdr:rowOff>0</xdr:rowOff>
        </xdr:from>
        <xdr:to>
          <xdr:col>19</xdr:col>
          <xdr:colOff>276225</xdr:colOff>
          <xdr:row>30</xdr:row>
          <xdr:rowOff>9525</xdr:rowOff>
        </xdr:to>
        <xdr:sp macro="" textlink="">
          <xdr:nvSpPr>
            <xdr:cNvPr id="2157" name="Label 109" hidden="1">
              <a:extLst>
                <a:ext uri="{63B3BB69-23CF-44E3-9099-C40C66FF867C}">
                  <a14:compatExt spid="_x0000_s2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276225</xdr:colOff>
          <xdr:row>29</xdr:row>
          <xdr:rowOff>0</xdr:rowOff>
        </xdr:from>
        <xdr:to>
          <xdr:col>20</xdr:col>
          <xdr:colOff>276225</xdr:colOff>
          <xdr:row>30</xdr:row>
          <xdr:rowOff>9525</xdr:rowOff>
        </xdr:to>
        <xdr:sp macro="" textlink="">
          <xdr:nvSpPr>
            <xdr:cNvPr id="2159" name="Label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276225</xdr:colOff>
          <xdr:row>29</xdr:row>
          <xdr:rowOff>0</xdr:rowOff>
        </xdr:from>
        <xdr:to>
          <xdr:col>21</xdr:col>
          <xdr:colOff>276225</xdr:colOff>
          <xdr:row>30</xdr:row>
          <xdr:rowOff>9525</xdr:rowOff>
        </xdr:to>
        <xdr:sp macro="" textlink="">
          <xdr:nvSpPr>
            <xdr:cNvPr id="2162" name="Label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276225</xdr:colOff>
          <xdr:row>29</xdr:row>
          <xdr:rowOff>0</xdr:rowOff>
        </xdr:from>
        <xdr:to>
          <xdr:col>22</xdr:col>
          <xdr:colOff>276225</xdr:colOff>
          <xdr:row>30</xdr:row>
          <xdr:rowOff>9525</xdr:rowOff>
        </xdr:to>
        <xdr:sp macro="" textlink="">
          <xdr:nvSpPr>
            <xdr:cNvPr id="2164" name="Label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29</xdr:row>
          <xdr:rowOff>0</xdr:rowOff>
        </xdr:from>
        <xdr:to>
          <xdr:col>23</xdr:col>
          <xdr:colOff>276225</xdr:colOff>
          <xdr:row>30</xdr:row>
          <xdr:rowOff>9525</xdr:rowOff>
        </xdr:to>
        <xdr:sp macro="" textlink="">
          <xdr:nvSpPr>
            <xdr:cNvPr id="2166" name="Label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29</xdr:row>
          <xdr:rowOff>0</xdr:rowOff>
        </xdr:from>
        <xdr:to>
          <xdr:col>24</xdr:col>
          <xdr:colOff>276225</xdr:colOff>
          <xdr:row>30</xdr:row>
          <xdr:rowOff>9525</xdr:rowOff>
        </xdr:to>
        <xdr:sp macro="" textlink="">
          <xdr:nvSpPr>
            <xdr:cNvPr id="2168" name="Label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276225</xdr:colOff>
          <xdr:row>29</xdr:row>
          <xdr:rowOff>0</xdr:rowOff>
        </xdr:from>
        <xdr:to>
          <xdr:col>25</xdr:col>
          <xdr:colOff>276225</xdr:colOff>
          <xdr:row>30</xdr:row>
          <xdr:rowOff>9525</xdr:rowOff>
        </xdr:to>
        <xdr:sp macro="" textlink="">
          <xdr:nvSpPr>
            <xdr:cNvPr id="2170" name="Label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276225</xdr:colOff>
          <xdr:row>29</xdr:row>
          <xdr:rowOff>0</xdr:rowOff>
        </xdr:from>
        <xdr:to>
          <xdr:col>26</xdr:col>
          <xdr:colOff>276225</xdr:colOff>
          <xdr:row>30</xdr:row>
          <xdr:rowOff>9525</xdr:rowOff>
        </xdr:to>
        <xdr:sp macro="" textlink="">
          <xdr:nvSpPr>
            <xdr:cNvPr id="2172" name="Label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276225</xdr:colOff>
          <xdr:row>29</xdr:row>
          <xdr:rowOff>0</xdr:rowOff>
        </xdr:from>
        <xdr:to>
          <xdr:col>27</xdr:col>
          <xdr:colOff>276225</xdr:colOff>
          <xdr:row>30</xdr:row>
          <xdr:rowOff>9525</xdr:rowOff>
        </xdr:to>
        <xdr:sp macro="" textlink="">
          <xdr:nvSpPr>
            <xdr:cNvPr id="2174" name="Label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276225</xdr:colOff>
          <xdr:row>29</xdr:row>
          <xdr:rowOff>0</xdr:rowOff>
        </xdr:from>
        <xdr:to>
          <xdr:col>28</xdr:col>
          <xdr:colOff>276225</xdr:colOff>
          <xdr:row>30</xdr:row>
          <xdr:rowOff>9525</xdr:rowOff>
        </xdr:to>
        <xdr:sp macro="" textlink="">
          <xdr:nvSpPr>
            <xdr:cNvPr id="2176" name="Label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276225</xdr:colOff>
          <xdr:row>29</xdr:row>
          <xdr:rowOff>0</xdr:rowOff>
        </xdr:from>
        <xdr:to>
          <xdr:col>29</xdr:col>
          <xdr:colOff>276225</xdr:colOff>
          <xdr:row>30</xdr:row>
          <xdr:rowOff>9525</xdr:rowOff>
        </xdr:to>
        <xdr:sp macro="" textlink="">
          <xdr:nvSpPr>
            <xdr:cNvPr id="2178" name="Label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276225</xdr:colOff>
          <xdr:row>29</xdr:row>
          <xdr:rowOff>0</xdr:rowOff>
        </xdr:from>
        <xdr:to>
          <xdr:col>30</xdr:col>
          <xdr:colOff>276225</xdr:colOff>
          <xdr:row>30</xdr:row>
          <xdr:rowOff>9525</xdr:rowOff>
        </xdr:to>
        <xdr:sp macro="" textlink="">
          <xdr:nvSpPr>
            <xdr:cNvPr id="2180" name="Label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276225</xdr:colOff>
          <xdr:row>29</xdr:row>
          <xdr:rowOff>0</xdr:rowOff>
        </xdr:from>
        <xdr:to>
          <xdr:col>31</xdr:col>
          <xdr:colOff>276225</xdr:colOff>
          <xdr:row>30</xdr:row>
          <xdr:rowOff>9525</xdr:rowOff>
        </xdr:to>
        <xdr:sp macro="" textlink="">
          <xdr:nvSpPr>
            <xdr:cNvPr id="2182" name="Label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1</xdr:col>
          <xdr:colOff>285750</xdr:colOff>
          <xdr:row>30</xdr:row>
          <xdr:rowOff>285750</xdr:rowOff>
        </xdr:to>
        <xdr:sp macro="" textlink="">
          <xdr:nvSpPr>
            <xdr:cNvPr id="2184" name="Label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30</xdr:row>
          <xdr:rowOff>9525</xdr:rowOff>
        </xdr:from>
        <xdr:to>
          <xdr:col>4</xdr:col>
          <xdr:colOff>276225</xdr:colOff>
          <xdr:row>31</xdr:row>
          <xdr:rowOff>0</xdr:rowOff>
        </xdr:to>
        <xdr:sp macro="" textlink="">
          <xdr:nvSpPr>
            <xdr:cNvPr id="2185" name="Label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30</xdr:row>
          <xdr:rowOff>9525</xdr:rowOff>
        </xdr:from>
        <xdr:to>
          <xdr:col>5</xdr:col>
          <xdr:colOff>276225</xdr:colOff>
          <xdr:row>31</xdr:row>
          <xdr:rowOff>0</xdr:rowOff>
        </xdr:to>
        <xdr:sp macro="" textlink="">
          <xdr:nvSpPr>
            <xdr:cNvPr id="2186" name="Label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30</xdr:row>
          <xdr:rowOff>266700</xdr:rowOff>
        </xdr:to>
        <xdr:sp macro="" textlink="">
          <xdr:nvSpPr>
            <xdr:cNvPr id="2187" name="Label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30</xdr:row>
          <xdr:rowOff>266700</xdr:rowOff>
        </xdr:to>
        <xdr:sp macro="" textlink="">
          <xdr:nvSpPr>
            <xdr:cNvPr id="2188" name="Label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276225</xdr:colOff>
          <xdr:row>30</xdr:row>
          <xdr:rowOff>9525</xdr:rowOff>
        </xdr:from>
        <xdr:to>
          <xdr:col>31</xdr:col>
          <xdr:colOff>276225</xdr:colOff>
          <xdr:row>31</xdr:row>
          <xdr:rowOff>0</xdr:rowOff>
        </xdr:to>
        <xdr:sp macro="" textlink="">
          <xdr:nvSpPr>
            <xdr:cNvPr id="2243" name="Label 195" hidden="1">
              <a:extLst>
                <a:ext uri="{63B3BB69-23CF-44E3-9099-C40C66FF867C}">
                  <a14:compatExt spid="_x0000_s2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276225</xdr:colOff>
          <xdr:row>30</xdr:row>
          <xdr:rowOff>9525</xdr:rowOff>
        </xdr:from>
        <xdr:to>
          <xdr:col>30</xdr:col>
          <xdr:colOff>276225</xdr:colOff>
          <xdr:row>31</xdr:row>
          <xdr:rowOff>0</xdr:rowOff>
        </xdr:to>
        <xdr:sp macro="" textlink="">
          <xdr:nvSpPr>
            <xdr:cNvPr id="2244" name="Label 196" hidden="1">
              <a:extLst>
                <a:ext uri="{63B3BB69-23CF-44E3-9099-C40C66FF867C}">
                  <a14:compatExt spid="_x0000_s2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276225</xdr:colOff>
          <xdr:row>30</xdr:row>
          <xdr:rowOff>9525</xdr:rowOff>
        </xdr:from>
        <xdr:to>
          <xdr:col>29</xdr:col>
          <xdr:colOff>276225</xdr:colOff>
          <xdr:row>31</xdr:row>
          <xdr:rowOff>0</xdr:rowOff>
        </xdr:to>
        <xdr:sp macro="" textlink="">
          <xdr:nvSpPr>
            <xdr:cNvPr id="2245" name="Label 197" hidden="1">
              <a:extLst>
                <a:ext uri="{63B3BB69-23CF-44E3-9099-C40C66FF867C}">
                  <a14:compatExt spid="_x0000_s2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276225</xdr:colOff>
          <xdr:row>30</xdr:row>
          <xdr:rowOff>9525</xdr:rowOff>
        </xdr:from>
        <xdr:to>
          <xdr:col>28</xdr:col>
          <xdr:colOff>276225</xdr:colOff>
          <xdr:row>31</xdr:row>
          <xdr:rowOff>0</xdr:rowOff>
        </xdr:to>
        <xdr:sp macro="" textlink="">
          <xdr:nvSpPr>
            <xdr:cNvPr id="2246" name="Label 198" hidden="1">
              <a:extLst>
                <a:ext uri="{63B3BB69-23CF-44E3-9099-C40C66FF867C}">
                  <a14:compatExt spid="_x0000_s2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276225</xdr:colOff>
          <xdr:row>30</xdr:row>
          <xdr:rowOff>9525</xdr:rowOff>
        </xdr:from>
        <xdr:to>
          <xdr:col>27</xdr:col>
          <xdr:colOff>276225</xdr:colOff>
          <xdr:row>31</xdr:row>
          <xdr:rowOff>0</xdr:rowOff>
        </xdr:to>
        <xdr:sp macro="" textlink="">
          <xdr:nvSpPr>
            <xdr:cNvPr id="2247" name="Label 199" hidden="1">
              <a:extLst>
                <a:ext uri="{63B3BB69-23CF-44E3-9099-C40C66FF867C}">
                  <a14:compatExt spid="_x0000_s2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276225</xdr:colOff>
          <xdr:row>30</xdr:row>
          <xdr:rowOff>9525</xdr:rowOff>
        </xdr:from>
        <xdr:to>
          <xdr:col>26</xdr:col>
          <xdr:colOff>276225</xdr:colOff>
          <xdr:row>31</xdr:row>
          <xdr:rowOff>0</xdr:rowOff>
        </xdr:to>
        <xdr:sp macro="" textlink="">
          <xdr:nvSpPr>
            <xdr:cNvPr id="2248" name="Label 200" hidden="1">
              <a:extLst>
                <a:ext uri="{63B3BB69-23CF-44E3-9099-C40C66FF867C}">
                  <a14:compatExt spid="_x0000_s2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276225</xdr:colOff>
          <xdr:row>30</xdr:row>
          <xdr:rowOff>9525</xdr:rowOff>
        </xdr:from>
        <xdr:to>
          <xdr:col>25</xdr:col>
          <xdr:colOff>276225</xdr:colOff>
          <xdr:row>31</xdr:row>
          <xdr:rowOff>0</xdr:rowOff>
        </xdr:to>
        <xdr:sp macro="" textlink="">
          <xdr:nvSpPr>
            <xdr:cNvPr id="2249" name="Label 201" hidden="1">
              <a:extLst>
                <a:ext uri="{63B3BB69-23CF-44E3-9099-C40C66FF867C}">
                  <a14:compatExt spid="_x0000_s2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30</xdr:row>
          <xdr:rowOff>9525</xdr:rowOff>
        </xdr:from>
        <xdr:to>
          <xdr:col>24</xdr:col>
          <xdr:colOff>276225</xdr:colOff>
          <xdr:row>31</xdr:row>
          <xdr:rowOff>0</xdr:rowOff>
        </xdr:to>
        <xdr:sp macro="" textlink="">
          <xdr:nvSpPr>
            <xdr:cNvPr id="2250" name="Label 202" hidden="1">
              <a:extLst>
                <a:ext uri="{63B3BB69-23CF-44E3-9099-C40C66FF867C}">
                  <a14:compatExt spid="_x0000_s2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30</xdr:row>
          <xdr:rowOff>9525</xdr:rowOff>
        </xdr:from>
        <xdr:to>
          <xdr:col>24</xdr:col>
          <xdr:colOff>276225</xdr:colOff>
          <xdr:row>31</xdr:row>
          <xdr:rowOff>0</xdr:rowOff>
        </xdr:to>
        <xdr:sp macro="" textlink="">
          <xdr:nvSpPr>
            <xdr:cNvPr id="2251" name="Label 203" hidden="1">
              <a:extLst>
                <a:ext uri="{63B3BB69-23CF-44E3-9099-C40C66FF867C}">
                  <a14:compatExt spid="_x0000_s2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30</xdr:row>
          <xdr:rowOff>9525</xdr:rowOff>
        </xdr:from>
        <xdr:to>
          <xdr:col>23</xdr:col>
          <xdr:colOff>276225</xdr:colOff>
          <xdr:row>31</xdr:row>
          <xdr:rowOff>0</xdr:rowOff>
        </xdr:to>
        <xdr:sp macro="" textlink="">
          <xdr:nvSpPr>
            <xdr:cNvPr id="2252" name="Label 204" hidden="1">
              <a:extLst>
                <a:ext uri="{63B3BB69-23CF-44E3-9099-C40C66FF867C}">
                  <a14:compatExt spid="_x0000_s2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276225</xdr:colOff>
          <xdr:row>30</xdr:row>
          <xdr:rowOff>9525</xdr:rowOff>
        </xdr:from>
        <xdr:to>
          <xdr:col>22</xdr:col>
          <xdr:colOff>276225</xdr:colOff>
          <xdr:row>31</xdr:row>
          <xdr:rowOff>0</xdr:rowOff>
        </xdr:to>
        <xdr:sp macro="" textlink="">
          <xdr:nvSpPr>
            <xdr:cNvPr id="2253" name="Label 205" hidden="1">
              <a:extLst>
                <a:ext uri="{63B3BB69-23CF-44E3-9099-C40C66FF867C}">
                  <a14:compatExt spid="_x0000_s2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276225</xdr:colOff>
          <xdr:row>30</xdr:row>
          <xdr:rowOff>9525</xdr:rowOff>
        </xdr:from>
        <xdr:to>
          <xdr:col>21</xdr:col>
          <xdr:colOff>276225</xdr:colOff>
          <xdr:row>31</xdr:row>
          <xdr:rowOff>0</xdr:rowOff>
        </xdr:to>
        <xdr:sp macro="" textlink="">
          <xdr:nvSpPr>
            <xdr:cNvPr id="2254" name="Label 206" hidden="1">
              <a:extLst>
                <a:ext uri="{63B3BB69-23CF-44E3-9099-C40C66FF867C}">
                  <a14:compatExt spid="_x0000_s2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276225</xdr:colOff>
          <xdr:row>30</xdr:row>
          <xdr:rowOff>9525</xdr:rowOff>
        </xdr:from>
        <xdr:to>
          <xdr:col>20</xdr:col>
          <xdr:colOff>276225</xdr:colOff>
          <xdr:row>31</xdr:row>
          <xdr:rowOff>0</xdr:rowOff>
        </xdr:to>
        <xdr:sp macro="" textlink="">
          <xdr:nvSpPr>
            <xdr:cNvPr id="2255" name="Label 207" hidden="1">
              <a:extLst>
                <a:ext uri="{63B3BB69-23CF-44E3-9099-C40C66FF867C}">
                  <a14:compatExt spid="_x0000_s2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276225</xdr:colOff>
          <xdr:row>30</xdr:row>
          <xdr:rowOff>9525</xdr:rowOff>
        </xdr:from>
        <xdr:to>
          <xdr:col>19</xdr:col>
          <xdr:colOff>276225</xdr:colOff>
          <xdr:row>31</xdr:row>
          <xdr:rowOff>0</xdr:rowOff>
        </xdr:to>
        <xdr:sp macro="" textlink="">
          <xdr:nvSpPr>
            <xdr:cNvPr id="2256" name="Label 208" hidden="1">
              <a:extLst>
                <a:ext uri="{63B3BB69-23CF-44E3-9099-C40C66FF867C}">
                  <a14:compatExt spid="_x0000_s2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276225</xdr:colOff>
          <xdr:row>30</xdr:row>
          <xdr:rowOff>9525</xdr:rowOff>
        </xdr:from>
        <xdr:to>
          <xdr:col>18</xdr:col>
          <xdr:colOff>276225</xdr:colOff>
          <xdr:row>31</xdr:row>
          <xdr:rowOff>0</xdr:rowOff>
        </xdr:to>
        <xdr:sp macro="" textlink="">
          <xdr:nvSpPr>
            <xdr:cNvPr id="2257" name="Label 209" hidden="1">
              <a:extLst>
                <a:ext uri="{63B3BB69-23CF-44E3-9099-C40C66FF867C}">
                  <a14:compatExt spid="_x0000_s2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276225</xdr:colOff>
          <xdr:row>30</xdr:row>
          <xdr:rowOff>9525</xdr:rowOff>
        </xdr:from>
        <xdr:to>
          <xdr:col>17</xdr:col>
          <xdr:colOff>276225</xdr:colOff>
          <xdr:row>31</xdr:row>
          <xdr:rowOff>0</xdr:rowOff>
        </xdr:to>
        <xdr:sp macro="" textlink="">
          <xdr:nvSpPr>
            <xdr:cNvPr id="2258" name="Label 210" hidden="1">
              <a:extLst>
                <a:ext uri="{63B3BB69-23CF-44E3-9099-C40C66FF867C}">
                  <a14:compatExt spid="_x0000_s2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30</xdr:row>
          <xdr:rowOff>9525</xdr:rowOff>
        </xdr:from>
        <xdr:to>
          <xdr:col>16</xdr:col>
          <xdr:colOff>276225</xdr:colOff>
          <xdr:row>31</xdr:row>
          <xdr:rowOff>0</xdr:rowOff>
        </xdr:to>
        <xdr:sp macro="" textlink="">
          <xdr:nvSpPr>
            <xdr:cNvPr id="2259" name="Label 211" hidden="1">
              <a:extLst>
                <a:ext uri="{63B3BB69-23CF-44E3-9099-C40C66FF867C}">
                  <a14:compatExt spid="_x0000_s2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30</xdr:row>
          <xdr:rowOff>9525</xdr:rowOff>
        </xdr:from>
        <xdr:to>
          <xdr:col>15</xdr:col>
          <xdr:colOff>276225</xdr:colOff>
          <xdr:row>31</xdr:row>
          <xdr:rowOff>0</xdr:rowOff>
        </xdr:to>
        <xdr:sp macro="" textlink="">
          <xdr:nvSpPr>
            <xdr:cNvPr id="2261" name="Label 213" hidden="1">
              <a:extLst>
                <a:ext uri="{63B3BB69-23CF-44E3-9099-C40C66FF867C}">
                  <a14:compatExt spid="_x0000_s2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30</xdr:row>
          <xdr:rowOff>9525</xdr:rowOff>
        </xdr:from>
        <xdr:to>
          <xdr:col>14</xdr:col>
          <xdr:colOff>276225</xdr:colOff>
          <xdr:row>31</xdr:row>
          <xdr:rowOff>0</xdr:rowOff>
        </xdr:to>
        <xdr:sp macro="" textlink="">
          <xdr:nvSpPr>
            <xdr:cNvPr id="2262" name="Label 214" hidden="1">
              <a:extLst>
                <a:ext uri="{63B3BB69-23CF-44E3-9099-C40C66FF867C}">
                  <a14:compatExt spid="_x0000_s2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30</xdr:row>
          <xdr:rowOff>9525</xdr:rowOff>
        </xdr:from>
        <xdr:to>
          <xdr:col>13</xdr:col>
          <xdr:colOff>276225</xdr:colOff>
          <xdr:row>31</xdr:row>
          <xdr:rowOff>0</xdr:rowOff>
        </xdr:to>
        <xdr:sp macro="" textlink="">
          <xdr:nvSpPr>
            <xdr:cNvPr id="2263" name="Label 215" hidden="1">
              <a:extLst>
                <a:ext uri="{63B3BB69-23CF-44E3-9099-C40C66FF867C}">
                  <a14:compatExt spid="_x0000_s2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30</xdr:row>
          <xdr:rowOff>9525</xdr:rowOff>
        </xdr:from>
        <xdr:to>
          <xdr:col>12</xdr:col>
          <xdr:colOff>276225</xdr:colOff>
          <xdr:row>31</xdr:row>
          <xdr:rowOff>0</xdr:rowOff>
        </xdr:to>
        <xdr:sp macro="" textlink="">
          <xdr:nvSpPr>
            <xdr:cNvPr id="2264" name="Label 216" hidden="1">
              <a:extLst>
                <a:ext uri="{63B3BB69-23CF-44E3-9099-C40C66FF867C}">
                  <a14:compatExt spid="_x0000_s2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30</xdr:row>
          <xdr:rowOff>9525</xdr:rowOff>
        </xdr:from>
        <xdr:to>
          <xdr:col>11</xdr:col>
          <xdr:colOff>276225</xdr:colOff>
          <xdr:row>31</xdr:row>
          <xdr:rowOff>0</xdr:rowOff>
        </xdr:to>
        <xdr:sp macro="" textlink="">
          <xdr:nvSpPr>
            <xdr:cNvPr id="2265" name="Label 217" hidden="1">
              <a:extLst>
                <a:ext uri="{63B3BB69-23CF-44E3-9099-C40C66FF867C}">
                  <a14:compatExt spid="_x0000_s2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30</xdr:row>
          <xdr:rowOff>9525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2266" name="Label 218" hidden="1">
              <a:extLst>
                <a:ext uri="{63B3BB69-23CF-44E3-9099-C40C66FF867C}">
                  <a14:compatExt spid="_x0000_s2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30</xdr:row>
          <xdr:rowOff>266700</xdr:rowOff>
        </xdr:to>
        <xdr:sp macro="" textlink="">
          <xdr:nvSpPr>
            <xdr:cNvPr id="2267" name="Label 219" hidden="1">
              <a:extLst>
                <a:ext uri="{63B3BB69-23CF-44E3-9099-C40C66FF867C}">
                  <a14:compatExt spid="_x0000_s2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31</xdr:row>
          <xdr:rowOff>0</xdr:rowOff>
        </xdr:from>
        <xdr:to>
          <xdr:col>32</xdr:col>
          <xdr:colOff>0</xdr:colOff>
          <xdr:row>31</xdr:row>
          <xdr:rowOff>266700</xdr:rowOff>
        </xdr:to>
        <xdr:sp macro="" textlink="">
          <xdr:nvSpPr>
            <xdr:cNvPr id="2268" name="Label 220" hidden="1">
              <a:extLst>
                <a:ext uri="{63B3BB69-23CF-44E3-9099-C40C66FF867C}">
                  <a14:compatExt spid="_x0000_s2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276225</xdr:colOff>
          <xdr:row>31</xdr:row>
          <xdr:rowOff>9525</xdr:rowOff>
        </xdr:from>
        <xdr:to>
          <xdr:col>30</xdr:col>
          <xdr:colOff>276225</xdr:colOff>
          <xdr:row>32</xdr:row>
          <xdr:rowOff>0</xdr:rowOff>
        </xdr:to>
        <xdr:sp macro="" textlink="">
          <xdr:nvSpPr>
            <xdr:cNvPr id="2269" name="Label 221" hidden="1">
              <a:extLst>
                <a:ext uri="{63B3BB69-23CF-44E3-9099-C40C66FF867C}">
                  <a14:compatExt spid="_x0000_s2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276225</xdr:colOff>
          <xdr:row>31</xdr:row>
          <xdr:rowOff>9525</xdr:rowOff>
        </xdr:from>
        <xdr:to>
          <xdr:col>29</xdr:col>
          <xdr:colOff>276225</xdr:colOff>
          <xdr:row>32</xdr:row>
          <xdr:rowOff>0</xdr:rowOff>
        </xdr:to>
        <xdr:sp macro="" textlink="">
          <xdr:nvSpPr>
            <xdr:cNvPr id="2270" name="Label 222" hidden="1">
              <a:extLst>
                <a:ext uri="{63B3BB69-23CF-44E3-9099-C40C66FF867C}">
                  <a14:compatExt spid="_x0000_s2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276225</xdr:colOff>
          <xdr:row>31</xdr:row>
          <xdr:rowOff>9525</xdr:rowOff>
        </xdr:from>
        <xdr:to>
          <xdr:col>28</xdr:col>
          <xdr:colOff>276225</xdr:colOff>
          <xdr:row>32</xdr:row>
          <xdr:rowOff>0</xdr:rowOff>
        </xdr:to>
        <xdr:sp macro="" textlink="">
          <xdr:nvSpPr>
            <xdr:cNvPr id="2271" name="Label 223" hidden="1">
              <a:extLst>
                <a:ext uri="{63B3BB69-23CF-44E3-9099-C40C66FF867C}">
                  <a14:compatExt spid="_x0000_s2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276225</xdr:colOff>
          <xdr:row>31</xdr:row>
          <xdr:rowOff>9525</xdr:rowOff>
        </xdr:from>
        <xdr:to>
          <xdr:col>27</xdr:col>
          <xdr:colOff>276225</xdr:colOff>
          <xdr:row>32</xdr:row>
          <xdr:rowOff>0</xdr:rowOff>
        </xdr:to>
        <xdr:sp macro="" textlink="">
          <xdr:nvSpPr>
            <xdr:cNvPr id="2272" name="Label 224" hidden="1">
              <a:extLst>
                <a:ext uri="{63B3BB69-23CF-44E3-9099-C40C66FF867C}">
                  <a14:compatExt spid="_x0000_s2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276225</xdr:colOff>
          <xdr:row>31</xdr:row>
          <xdr:rowOff>9525</xdr:rowOff>
        </xdr:from>
        <xdr:to>
          <xdr:col>26</xdr:col>
          <xdr:colOff>276225</xdr:colOff>
          <xdr:row>32</xdr:row>
          <xdr:rowOff>0</xdr:rowOff>
        </xdr:to>
        <xdr:sp macro="" textlink="">
          <xdr:nvSpPr>
            <xdr:cNvPr id="2273" name="Label 225" hidden="1">
              <a:extLst>
                <a:ext uri="{63B3BB69-23CF-44E3-9099-C40C66FF867C}">
                  <a14:compatExt spid="_x0000_s2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276225</xdr:colOff>
          <xdr:row>31</xdr:row>
          <xdr:rowOff>9525</xdr:rowOff>
        </xdr:from>
        <xdr:to>
          <xdr:col>25</xdr:col>
          <xdr:colOff>276225</xdr:colOff>
          <xdr:row>32</xdr:row>
          <xdr:rowOff>0</xdr:rowOff>
        </xdr:to>
        <xdr:sp macro="" textlink="">
          <xdr:nvSpPr>
            <xdr:cNvPr id="2274" name="Label 226" hidden="1">
              <a:extLst>
                <a:ext uri="{63B3BB69-23CF-44E3-9099-C40C66FF867C}">
                  <a14:compatExt spid="_x0000_s2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31</xdr:row>
          <xdr:rowOff>9525</xdr:rowOff>
        </xdr:from>
        <xdr:to>
          <xdr:col>24</xdr:col>
          <xdr:colOff>276225</xdr:colOff>
          <xdr:row>32</xdr:row>
          <xdr:rowOff>0</xdr:rowOff>
        </xdr:to>
        <xdr:sp macro="" textlink="">
          <xdr:nvSpPr>
            <xdr:cNvPr id="2275" name="Label 227" hidden="1">
              <a:extLst>
                <a:ext uri="{63B3BB69-23CF-44E3-9099-C40C66FF867C}">
                  <a14:compatExt spid="_x0000_s2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31</xdr:row>
          <xdr:rowOff>9525</xdr:rowOff>
        </xdr:from>
        <xdr:to>
          <xdr:col>23</xdr:col>
          <xdr:colOff>276225</xdr:colOff>
          <xdr:row>32</xdr:row>
          <xdr:rowOff>0</xdr:rowOff>
        </xdr:to>
        <xdr:sp macro="" textlink="">
          <xdr:nvSpPr>
            <xdr:cNvPr id="2276" name="Label 228" hidden="1">
              <a:extLst>
                <a:ext uri="{63B3BB69-23CF-44E3-9099-C40C66FF867C}">
                  <a14:compatExt spid="_x0000_s2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276225</xdr:colOff>
          <xdr:row>31</xdr:row>
          <xdr:rowOff>9525</xdr:rowOff>
        </xdr:from>
        <xdr:to>
          <xdr:col>22</xdr:col>
          <xdr:colOff>276225</xdr:colOff>
          <xdr:row>32</xdr:row>
          <xdr:rowOff>0</xdr:rowOff>
        </xdr:to>
        <xdr:sp macro="" textlink="">
          <xdr:nvSpPr>
            <xdr:cNvPr id="2277" name="Label 229" hidden="1">
              <a:extLst>
                <a:ext uri="{63B3BB69-23CF-44E3-9099-C40C66FF867C}">
                  <a14:compatExt spid="_x0000_s2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276225</xdr:colOff>
          <xdr:row>31</xdr:row>
          <xdr:rowOff>9525</xdr:rowOff>
        </xdr:from>
        <xdr:to>
          <xdr:col>21</xdr:col>
          <xdr:colOff>276225</xdr:colOff>
          <xdr:row>32</xdr:row>
          <xdr:rowOff>0</xdr:rowOff>
        </xdr:to>
        <xdr:sp macro="" textlink="">
          <xdr:nvSpPr>
            <xdr:cNvPr id="2278" name="Label 230" hidden="1">
              <a:extLst>
                <a:ext uri="{63B3BB69-23CF-44E3-9099-C40C66FF867C}">
                  <a14:compatExt spid="_x0000_s2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276225</xdr:colOff>
          <xdr:row>31</xdr:row>
          <xdr:rowOff>9525</xdr:rowOff>
        </xdr:from>
        <xdr:to>
          <xdr:col>20</xdr:col>
          <xdr:colOff>276225</xdr:colOff>
          <xdr:row>32</xdr:row>
          <xdr:rowOff>0</xdr:rowOff>
        </xdr:to>
        <xdr:sp macro="" textlink="">
          <xdr:nvSpPr>
            <xdr:cNvPr id="2279" name="Label 231" hidden="1">
              <a:extLst>
                <a:ext uri="{63B3BB69-23CF-44E3-9099-C40C66FF867C}">
                  <a14:compatExt spid="_x0000_s2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276225</xdr:colOff>
          <xdr:row>31</xdr:row>
          <xdr:rowOff>9525</xdr:rowOff>
        </xdr:from>
        <xdr:to>
          <xdr:col>19</xdr:col>
          <xdr:colOff>276225</xdr:colOff>
          <xdr:row>32</xdr:row>
          <xdr:rowOff>0</xdr:rowOff>
        </xdr:to>
        <xdr:sp macro="" textlink="">
          <xdr:nvSpPr>
            <xdr:cNvPr id="2280" name="Label 232" hidden="1">
              <a:extLst>
                <a:ext uri="{63B3BB69-23CF-44E3-9099-C40C66FF867C}">
                  <a14:compatExt spid="_x0000_s2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276225</xdr:colOff>
          <xdr:row>31</xdr:row>
          <xdr:rowOff>9525</xdr:rowOff>
        </xdr:from>
        <xdr:to>
          <xdr:col>18</xdr:col>
          <xdr:colOff>276225</xdr:colOff>
          <xdr:row>32</xdr:row>
          <xdr:rowOff>0</xdr:rowOff>
        </xdr:to>
        <xdr:sp macro="" textlink="">
          <xdr:nvSpPr>
            <xdr:cNvPr id="2281" name="Label 233" hidden="1">
              <a:extLst>
                <a:ext uri="{63B3BB69-23CF-44E3-9099-C40C66FF867C}">
                  <a14:compatExt spid="_x0000_s2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276225</xdr:colOff>
          <xdr:row>31</xdr:row>
          <xdr:rowOff>9525</xdr:rowOff>
        </xdr:from>
        <xdr:to>
          <xdr:col>17</xdr:col>
          <xdr:colOff>276225</xdr:colOff>
          <xdr:row>32</xdr:row>
          <xdr:rowOff>0</xdr:rowOff>
        </xdr:to>
        <xdr:sp macro="" textlink="">
          <xdr:nvSpPr>
            <xdr:cNvPr id="2282" name="Label 234" hidden="1">
              <a:extLst>
                <a:ext uri="{63B3BB69-23CF-44E3-9099-C40C66FF867C}">
                  <a14:compatExt spid="_x0000_s2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31</xdr:row>
          <xdr:rowOff>9525</xdr:rowOff>
        </xdr:from>
        <xdr:to>
          <xdr:col>16</xdr:col>
          <xdr:colOff>276225</xdr:colOff>
          <xdr:row>32</xdr:row>
          <xdr:rowOff>0</xdr:rowOff>
        </xdr:to>
        <xdr:sp macro="" textlink="">
          <xdr:nvSpPr>
            <xdr:cNvPr id="2283" name="Label 235" hidden="1">
              <a:extLst>
                <a:ext uri="{63B3BB69-23CF-44E3-9099-C40C66FF867C}">
                  <a14:compatExt spid="_x0000_s2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31</xdr:row>
          <xdr:rowOff>9525</xdr:rowOff>
        </xdr:from>
        <xdr:to>
          <xdr:col>15</xdr:col>
          <xdr:colOff>276225</xdr:colOff>
          <xdr:row>32</xdr:row>
          <xdr:rowOff>0</xdr:rowOff>
        </xdr:to>
        <xdr:sp macro="" textlink="">
          <xdr:nvSpPr>
            <xdr:cNvPr id="2284" name="Label 236" hidden="1">
              <a:extLst>
                <a:ext uri="{63B3BB69-23CF-44E3-9099-C40C66FF867C}">
                  <a14:compatExt spid="_x0000_s2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31</xdr:row>
          <xdr:rowOff>9525</xdr:rowOff>
        </xdr:from>
        <xdr:to>
          <xdr:col>14</xdr:col>
          <xdr:colOff>276225</xdr:colOff>
          <xdr:row>32</xdr:row>
          <xdr:rowOff>0</xdr:rowOff>
        </xdr:to>
        <xdr:sp macro="" textlink="">
          <xdr:nvSpPr>
            <xdr:cNvPr id="2285" name="Label 237" hidden="1">
              <a:extLst>
                <a:ext uri="{63B3BB69-23CF-44E3-9099-C40C66FF867C}">
                  <a14:compatExt spid="_x0000_s2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31</xdr:row>
          <xdr:rowOff>9525</xdr:rowOff>
        </xdr:from>
        <xdr:to>
          <xdr:col>13</xdr:col>
          <xdr:colOff>276225</xdr:colOff>
          <xdr:row>32</xdr:row>
          <xdr:rowOff>0</xdr:rowOff>
        </xdr:to>
        <xdr:sp macro="" textlink="">
          <xdr:nvSpPr>
            <xdr:cNvPr id="2286" name="Label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31</xdr:row>
          <xdr:rowOff>9525</xdr:rowOff>
        </xdr:from>
        <xdr:to>
          <xdr:col>12</xdr:col>
          <xdr:colOff>276225</xdr:colOff>
          <xdr:row>32</xdr:row>
          <xdr:rowOff>0</xdr:rowOff>
        </xdr:to>
        <xdr:sp macro="" textlink="">
          <xdr:nvSpPr>
            <xdr:cNvPr id="2287" name="Label 239" hidden="1">
              <a:extLst>
                <a:ext uri="{63B3BB69-23CF-44E3-9099-C40C66FF867C}">
                  <a14:compatExt spid="_x0000_s2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31</xdr:row>
          <xdr:rowOff>9525</xdr:rowOff>
        </xdr:from>
        <xdr:to>
          <xdr:col>11</xdr:col>
          <xdr:colOff>276225</xdr:colOff>
          <xdr:row>32</xdr:row>
          <xdr:rowOff>0</xdr:rowOff>
        </xdr:to>
        <xdr:sp macro="" textlink="">
          <xdr:nvSpPr>
            <xdr:cNvPr id="2288" name="Label 240" hidden="1">
              <a:extLst>
                <a:ext uri="{63B3BB69-23CF-44E3-9099-C40C66FF867C}">
                  <a14:compatExt spid="_x0000_s2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31</xdr:row>
          <xdr:rowOff>9525</xdr:rowOff>
        </xdr:from>
        <xdr:to>
          <xdr:col>10</xdr:col>
          <xdr:colOff>276225</xdr:colOff>
          <xdr:row>32</xdr:row>
          <xdr:rowOff>0</xdr:rowOff>
        </xdr:to>
        <xdr:sp macro="" textlink="">
          <xdr:nvSpPr>
            <xdr:cNvPr id="2289" name="Label 241" hidden="1">
              <a:extLst>
                <a:ext uri="{63B3BB69-23CF-44E3-9099-C40C66FF867C}">
                  <a14:compatExt spid="_x0000_s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31</xdr:row>
          <xdr:rowOff>9525</xdr:rowOff>
        </xdr:from>
        <xdr:to>
          <xdr:col>9</xdr:col>
          <xdr:colOff>276225</xdr:colOff>
          <xdr:row>32</xdr:row>
          <xdr:rowOff>0</xdr:rowOff>
        </xdr:to>
        <xdr:sp macro="" textlink="">
          <xdr:nvSpPr>
            <xdr:cNvPr id="2290" name="Label 242" hidden="1">
              <a:extLst>
                <a:ext uri="{63B3BB69-23CF-44E3-9099-C40C66FF867C}">
                  <a14:compatExt spid="_x0000_s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31</xdr:row>
          <xdr:rowOff>9525</xdr:rowOff>
        </xdr:from>
        <xdr:to>
          <xdr:col>8</xdr:col>
          <xdr:colOff>276225</xdr:colOff>
          <xdr:row>32</xdr:row>
          <xdr:rowOff>0</xdr:rowOff>
        </xdr:to>
        <xdr:sp macro="" textlink="">
          <xdr:nvSpPr>
            <xdr:cNvPr id="2291" name="Label 243" hidden="1">
              <a:extLst>
                <a:ext uri="{63B3BB69-23CF-44E3-9099-C40C66FF867C}">
                  <a14:compatExt spid="_x0000_s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31</xdr:row>
          <xdr:rowOff>9525</xdr:rowOff>
        </xdr:from>
        <xdr:to>
          <xdr:col>7</xdr:col>
          <xdr:colOff>276225</xdr:colOff>
          <xdr:row>32</xdr:row>
          <xdr:rowOff>0</xdr:rowOff>
        </xdr:to>
        <xdr:sp macro="" textlink="">
          <xdr:nvSpPr>
            <xdr:cNvPr id="2293" name="Label 245" hidden="1">
              <a:extLst>
                <a:ext uri="{63B3BB69-23CF-44E3-9099-C40C66FF867C}">
                  <a14:compatExt spid="_x0000_s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31</xdr:row>
          <xdr:rowOff>9525</xdr:rowOff>
        </xdr:from>
        <xdr:to>
          <xdr:col>6</xdr:col>
          <xdr:colOff>276225</xdr:colOff>
          <xdr:row>32</xdr:row>
          <xdr:rowOff>0</xdr:rowOff>
        </xdr:to>
        <xdr:sp macro="" textlink="">
          <xdr:nvSpPr>
            <xdr:cNvPr id="2294" name="Label 246" hidden="1">
              <a:extLst>
                <a:ext uri="{63B3BB69-23CF-44E3-9099-C40C66FF867C}">
                  <a14:compatExt spid="_x0000_s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31</xdr:row>
          <xdr:rowOff>9525</xdr:rowOff>
        </xdr:from>
        <xdr:to>
          <xdr:col>5</xdr:col>
          <xdr:colOff>276225</xdr:colOff>
          <xdr:row>32</xdr:row>
          <xdr:rowOff>0</xdr:rowOff>
        </xdr:to>
        <xdr:sp macro="" textlink="">
          <xdr:nvSpPr>
            <xdr:cNvPr id="2295" name="Label 247" hidden="1">
              <a:extLst>
                <a:ext uri="{63B3BB69-23CF-44E3-9099-C40C66FF867C}">
                  <a14:compatExt spid="_x0000_s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31</xdr:row>
          <xdr:rowOff>9525</xdr:rowOff>
        </xdr:from>
        <xdr:to>
          <xdr:col>4</xdr:col>
          <xdr:colOff>276225</xdr:colOff>
          <xdr:row>32</xdr:row>
          <xdr:rowOff>0</xdr:rowOff>
        </xdr:to>
        <xdr:sp macro="" textlink="">
          <xdr:nvSpPr>
            <xdr:cNvPr id="2296" name="Label 248" hidden="1">
              <a:extLst>
                <a:ext uri="{63B3BB69-23CF-44E3-9099-C40C66FF867C}">
                  <a14:compatExt spid="_x0000_s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31</xdr:row>
          <xdr:rowOff>9525</xdr:rowOff>
        </xdr:from>
        <xdr:to>
          <xdr:col>3</xdr:col>
          <xdr:colOff>276225</xdr:colOff>
          <xdr:row>32</xdr:row>
          <xdr:rowOff>0</xdr:rowOff>
        </xdr:to>
        <xdr:sp macro="" textlink="">
          <xdr:nvSpPr>
            <xdr:cNvPr id="2297" name="Label 249" hidden="1">
              <a:extLst>
                <a:ext uri="{63B3BB69-23CF-44E3-9099-C40C66FF867C}">
                  <a14:compatExt spid="_x0000_s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31</xdr:row>
          <xdr:rowOff>9525</xdr:rowOff>
        </xdr:from>
        <xdr:to>
          <xdr:col>2</xdr:col>
          <xdr:colOff>276225</xdr:colOff>
          <xdr:row>32</xdr:row>
          <xdr:rowOff>0</xdr:rowOff>
        </xdr:to>
        <xdr:sp macro="" textlink="">
          <xdr:nvSpPr>
            <xdr:cNvPr id="2298" name="Label 250" hidden="1">
              <a:extLst>
                <a:ext uri="{63B3BB69-23CF-44E3-9099-C40C66FF867C}">
                  <a14:compatExt spid="_x0000_s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31</xdr:row>
          <xdr:rowOff>295275</xdr:rowOff>
        </xdr:to>
        <xdr:sp macro="" textlink="">
          <xdr:nvSpPr>
            <xdr:cNvPr id="2299" name="Label 251" hidden="1">
              <a:extLst>
                <a:ext uri="{63B3BB69-23CF-44E3-9099-C40C66FF867C}">
                  <a14:compatExt spid="_x0000_s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33</xdr:col>
      <xdr:colOff>251114</xdr:colOff>
      <xdr:row>8</xdr:row>
      <xdr:rowOff>164520</xdr:rowOff>
    </xdr:from>
    <xdr:to>
      <xdr:col>37</xdr:col>
      <xdr:colOff>386889</xdr:colOff>
      <xdr:row>11</xdr:row>
      <xdr:rowOff>169715</xdr:rowOff>
    </xdr:to>
    <xdr:sp macro="[0]!Exit_Button" textlink="">
      <xdr:nvSpPr>
        <xdr:cNvPr id="3" name="Rounded Rectangle 2"/>
        <xdr:cNvSpPr/>
      </xdr:nvSpPr>
      <xdr:spPr>
        <a:xfrm>
          <a:off x="11352069" y="1723156"/>
          <a:ext cx="256032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Save &amp; Exit</a:t>
          </a:r>
        </a:p>
      </xdr:txBody>
    </xdr:sp>
    <xdr:clientData/>
  </xdr:twoCellAnchor>
  <xdr:twoCellAnchor>
    <xdr:from>
      <xdr:col>33</xdr:col>
      <xdr:colOff>277089</xdr:colOff>
      <xdr:row>17</xdr:row>
      <xdr:rowOff>121220</xdr:rowOff>
    </xdr:from>
    <xdr:to>
      <xdr:col>37</xdr:col>
      <xdr:colOff>412864</xdr:colOff>
      <xdr:row>20</xdr:row>
      <xdr:rowOff>126415</xdr:rowOff>
    </xdr:to>
    <xdr:sp macro="[0]!Roll_Over_Record" textlink="">
      <xdr:nvSpPr>
        <xdr:cNvPr id="109" name="Rounded Rectangle 108"/>
        <xdr:cNvSpPr/>
      </xdr:nvSpPr>
      <xdr:spPr>
        <a:xfrm>
          <a:off x="11378044" y="4147697"/>
          <a:ext cx="2560320" cy="9144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Roll Over</a:t>
          </a:r>
          <a:r>
            <a:rPr lang="en-US" sz="2400" baseline="0"/>
            <a:t> Record</a:t>
          </a:r>
          <a:endParaRPr lang="en-US" sz="2400"/>
        </a:p>
      </xdr:txBody>
    </xdr:sp>
    <xdr:clientData/>
  </xdr:twoCellAnchor>
  <xdr:twoCellAnchor>
    <xdr:from>
      <xdr:col>33</xdr:col>
      <xdr:colOff>296333</xdr:colOff>
      <xdr:row>25</xdr:row>
      <xdr:rowOff>164523</xdr:rowOff>
    </xdr:from>
    <xdr:to>
      <xdr:col>37</xdr:col>
      <xdr:colOff>432108</xdr:colOff>
      <xdr:row>29</xdr:row>
      <xdr:rowOff>232411</xdr:rowOff>
    </xdr:to>
    <xdr:sp macro="[0]!Show_User_form" textlink="">
      <xdr:nvSpPr>
        <xdr:cNvPr id="111" name="Rounded Rectangle 110"/>
        <xdr:cNvSpPr/>
      </xdr:nvSpPr>
      <xdr:spPr>
        <a:xfrm>
          <a:off x="11397288" y="6615546"/>
          <a:ext cx="2560320" cy="12801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Add/Remove</a:t>
          </a:r>
          <a:r>
            <a:rPr lang="en-US" sz="3200" baseline="0"/>
            <a:t> Note</a:t>
          </a:r>
          <a:endParaRPr lang="en-US" sz="3200"/>
        </a:p>
      </xdr:txBody>
    </xdr:sp>
    <xdr:clientData/>
  </xdr:twoCellAnchor>
  <xdr:twoCellAnchor>
    <xdr:from>
      <xdr:col>33</xdr:col>
      <xdr:colOff>309064</xdr:colOff>
      <xdr:row>21</xdr:row>
      <xdr:rowOff>157857</xdr:rowOff>
    </xdr:from>
    <xdr:to>
      <xdr:col>37</xdr:col>
      <xdr:colOff>444839</xdr:colOff>
      <xdr:row>24</xdr:row>
      <xdr:rowOff>163052</xdr:rowOff>
    </xdr:to>
    <xdr:sp macro="[0]!Discharge_Patient_2" textlink="">
      <xdr:nvSpPr>
        <xdr:cNvPr id="105" name="Rounded Rectangle 104"/>
        <xdr:cNvSpPr/>
      </xdr:nvSpPr>
      <xdr:spPr>
        <a:xfrm>
          <a:off x="11410019" y="5396607"/>
          <a:ext cx="256032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D/C</a:t>
          </a:r>
          <a:r>
            <a:rPr lang="en-US" sz="3200" baseline="0"/>
            <a:t> Patient</a:t>
          </a:r>
          <a:endParaRPr lang="en-US" sz="3200"/>
        </a:p>
      </xdr:txBody>
    </xdr:sp>
    <xdr:clientData/>
  </xdr:twoCellAnchor>
  <xdr:oneCellAnchor>
    <xdr:from>
      <xdr:col>0</xdr:col>
      <xdr:colOff>671377</xdr:colOff>
      <xdr:row>15</xdr:row>
      <xdr:rowOff>167556</xdr:rowOff>
    </xdr:from>
    <xdr:ext cx="10346608" cy="1533791"/>
    <xdr:sp macro="" textlink="">
      <xdr:nvSpPr>
        <xdr:cNvPr id="2" name="Discharge1" hidden="1"/>
        <xdr:cNvSpPr/>
      </xdr:nvSpPr>
      <xdr:spPr>
        <a:xfrm rot="19333538">
          <a:off x="671377" y="3440692"/>
          <a:ext cx="10346608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828521</xdr:colOff>
      <xdr:row>15</xdr:row>
      <xdr:rowOff>221244</xdr:rowOff>
    </xdr:from>
    <xdr:ext cx="10457712" cy="1533791"/>
    <xdr:sp macro="" textlink="">
      <xdr:nvSpPr>
        <xdr:cNvPr id="106" name="Discharge2" hidden="1"/>
        <xdr:cNvSpPr/>
      </xdr:nvSpPr>
      <xdr:spPr>
        <a:xfrm rot="19333538">
          <a:off x="828521" y="3494380"/>
          <a:ext cx="1045771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1056409</xdr:colOff>
      <xdr:row>15</xdr:row>
      <xdr:rowOff>190501</xdr:rowOff>
    </xdr:from>
    <xdr:ext cx="10457712" cy="1533791"/>
    <xdr:sp macro="" textlink="">
      <xdr:nvSpPr>
        <xdr:cNvPr id="107" name="Discharge3" hidden="1"/>
        <xdr:cNvSpPr/>
      </xdr:nvSpPr>
      <xdr:spPr>
        <a:xfrm rot="19274466">
          <a:off x="1056409" y="3463637"/>
          <a:ext cx="1045771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1072974</xdr:colOff>
      <xdr:row>17</xdr:row>
      <xdr:rowOff>0</xdr:rowOff>
    </xdr:from>
    <xdr:ext cx="10701822" cy="1533791"/>
    <xdr:sp macro="" textlink="">
      <xdr:nvSpPr>
        <xdr:cNvPr id="110" name="Discharge4" hidden="1"/>
        <xdr:cNvSpPr/>
      </xdr:nvSpPr>
      <xdr:spPr>
        <a:xfrm rot="19274466">
          <a:off x="1072974" y="3626639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1186297</xdr:colOff>
      <xdr:row>15</xdr:row>
      <xdr:rowOff>215294</xdr:rowOff>
    </xdr:from>
    <xdr:ext cx="10701822" cy="1533791"/>
    <xdr:sp macro="" textlink="">
      <xdr:nvSpPr>
        <xdr:cNvPr id="112" name="Discharge5" hidden="1"/>
        <xdr:cNvSpPr/>
      </xdr:nvSpPr>
      <xdr:spPr>
        <a:xfrm rot="19115162">
          <a:off x="1186297" y="3488430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1506682</xdr:colOff>
      <xdr:row>15</xdr:row>
      <xdr:rowOff>199159</xdr:rowOff>
    </xdr:from>
    <xdr:ext cx="10701822" cy="1533791"/>
    <xdr:sp macro="" textlink="">
      <xdr:nvSpPr>
        <xdr:cNvPr id="113" name="Discharge6" hidden="1"/>
        <xdr:cNvSpPr/>
      </xdr:nvSpPr>
      <xdr:spPr>
        <a:xfrm rot="19115162">
          <a:off x="1506682" y="3472295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</xdr:col>
      <xdr:colOff>43295</xdr:colOff>
      <xdr:row>15</xdr:row>
      <xdr:rowOff>178609</xdr:rowOff>
    </xdr:from>
    <xdr:ext cx="10701822" cy="1533791"/>
    <xdr:sp macro="" textlink="">
      <xdr:nvSpPr>
        <xdr:cNvPr id="114" name="Discharge7" hidden="1"/>
        <xdr:cNvSpPr/>
      </xdr:nvSpPr>
      <xdr:spPr>
        <a:xfrm rot="19115162">
          <a:off x="1792431" y="3451745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</xdr:col>
      <xdr:colOff>60613</xdr:colOff>
      <xdr:row>15</xdr:row>
      <xdr:rowOff>181840</xdr:rowOff>
    </xdr:from>
    <xdr:ext cx="10701822" cy="1533791"/>
    <xdr:sp macro="" textlink="">
      <xdr:nvSpPr>
        <xdr:cNvPr id="115" name="Discharge8" hidden="1"/>
        <xdr:cNvSpPr/>
      </xdr:nvSpPr>
      <xdr:spPr>
        <a:xfrm rot="19115162">
          <a:off x="2095499" y="3454976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3</xdr:col>
      <xdr:colOff>176775</xdr:colOff>
      <xdr:row>17</xdr:row>
      <xdr:rowOff>0</xdr:rowOff>
    </xdr:from>
    <xdr:ext cx="9835974" cy="1533791"/>
    <xdr:sp macro="" textlink="">
      <xdr:nvSpPr>
        <xdr:cNvPr id="116" name="Discharge9" hidden="1"/>
        <xdr:cNvSpPr/>
      </xdr:nvSpPr>
      <xdr:spPr>
        <a:xfrm rot="19115162">
          <a:off x="2497411" y="3738598"/>
          <a:ext cx="9835974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4</xdr:col>
      <xdr:colOff>51956</xdr:colOff>
      <xdr:row>17</xdr:row>
      <xdr:rowOff>0</xdr:rowOff>
    </xdr:from>
    <xdr:ext cx="9835974" cy="1533791"/>
    <xdr:sp macro="" textlink="">
      <xdr:nvSpPr>
        <xdr:cNvPr id="117" name="Discharge10" hidden="1"/>
        <xdr:cNvSpPr/>
      </xdr:nvSpPr>
      <xdr:spPr>
        <a:xfrm rot="19115162">
          <a:off x="2658342" y="3827317"/>
          <a:ext cx="9835974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6</xdr:col>
      <xdr:colOff>151246</xdr:colOff>
      <xdr:row>17</xdr:row>
      <xdr:rowOff>123011</xdr:rowOff>
    </xdr:from>
    <xdr:ext cx="8626282" cy="1533791"/>
    <xdr:sp macro="" textlink="">
      <xdr:nvSpPr>
        <xdr:cNvPr id="118" name="Discharge11" hidden="1"/>
        <xdr:cNvSpPr/>
      </xdr:nvSpPr>
      <xdr:spPr>
        <a:xfrm rot="19115162">
          <a:off x="3329132" y="4002284"/>
          <a:ext cx="862628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7</xdr:col>
      <xdr:colOff>205435</xdr:colOff>
      <xdr:row>17</xdr:row>
      <xdr:rowOff>166332</xdr:rowOff>
    </xdr:from>
    <xdr:ext cx="8437549" cy="1533791"/>
    <xdr:sp macro="" textlink="">
      <xdr:nvSpPr>
        <xdr:cNvPr id="120" name="Discharge12" hidden="1"/>
        <xdr:cNvSpPr/>
      </xdr:nvSpPr>
      <xdr:spPr>
        <a:xfrm rot="19115162">
          <a:off x="3669071" y="4045605"/>
          <a:ext cx="8437549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7</xdr:col>
      <xdr:colOff>277088</xdr:colOff>
      <xdr:row>17</xdr:row>
      <xdr:rowOff>303067</xdr:rowOff>
    </xdr:from>
    <xdr:ext cx="8437549" cy="1533791"/>
    <xdr:sp macro="" textlink="">
      <xdr:nvSpPr>
        <xdr:cNvPr id="121" name="Discharge13" hidden="1"/>
        <xdr:cNvSpPr/>
      </xdr:nvSpPr>
      <xdr:spPr>
        <a:xfrm rot="19115162">
          <a:off x="3740724" y="4182340"/>
          <a:ext cx="8437549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9</xdr:col>
      <xdr:colOff>139750</xdr:colOff>
      <xdr:row>18</xdr:row>
      <xdr:rowOff>31131</xdr:rowOff>
    </xdr:from>
    <xdr:ext cx="8081631" cy="1533791"/>
    <xdr:sp macro="" textlink="">
      <xdr:nvSpPr>
        <xdr:cNvPr id="122" name="Discharge14" hidden="1"/>
        <xdr:cNvSpPr/>
      </xdr:nvSpPr>
      <xdr:spPr>
        <a:xfrm rot="19115162">
          <a:off x="4174886" y="4213472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9</xdr:col>
      <xdr:colOff>268432</xdr:colOff>
      <xdr:row>18</xdr:row>
      <xdr:rowOff>199158</xdr:rowOff>
    </xdr:from>
    <xdr:ext cx="8081631" cy="1533791"/>
    <xdr:sp macro="" textlink="">
      <xdr:nvSpPr>
        <xdr:cNvPr id="123" name="Discharge15" hidden="1"/>
        <xdr:cNvSpPr/>
      </xdr:nvSpPr>
      <xdr:spPr>
        <a:xfrm rot="19115162">
          <a:off x="4303568" y="4381499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10</xdr:col>
      <xdr:colOff>51957</xdr:colOff>
      <xdr:row>19</xdr:row>
      <xdr:rowOff>51956</xdr:rowOff>
    </xdr:from>
    <xdr:ext cx="8081631" cy="1533791"/>
    <xdr:sp macro="" textlink="">
      <xdr:nvSpPr>
        <xdr:cNvPr id="124" name="Discharge16" hidden="1"/>
        <xdr:cNvSpPr/>
      </xdr:nvSpPr>
      <xdr:spPr>
        <a:xfrm rot="19115162">
          <a:off x="4372843" y="4537365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14</xdr:col>
      <xdr:colOff>81100</xdr:colOff>
      <xdr:row>19</xdr:row>
      <xdr:rowOff>250672</xdr:rowOff>
    </xdr:from>
    <xdr:ext cx="5870342" cy="1533791"/>
    <xdr:sp macro="" textlink="">
      <xdr:nvSpPr>
        <xdr:cNvPr id="126" name="Discharge17" hidden="1"/>
        <xdr:cNvSpPr/>
      </xdr:nvSpPr>
      <xdr:spPr>
        <a:xfrm rot="19115162">
          <a:off x="5544986" y="4736081"/>
          <a:ext cx="58703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15</xdr:col>
      <xdr:colOff>95251</xdr:colOff>
      <xdr:row>19</xdr:row>
      <xdr:rowOff>251115</xdr:rowOff>
    </xdr:from>
    <xdr:ext cx="5870342" cy="1533791"/>
    <xdr:sp macro="" textlink="">
      <xdr:nvSpPr>
        <xdr:cNvPr id="127" name="Discharge18" hidden="1"/>
        <xdr:cNvSpPr/>
      </xdr:nvSpPr>
      <xdr:spPr>
        <a:xfrm rot="19115162">
          <a:off x="5844887" y="4736524"/>
          <a:ext cx="58703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16</xdr:col>
      <xdr:colOff>57400</xdr:colOff>
      <xdr:row>20</xdr:row>
      <xdr:rowOff>145268</xdr:rowOff>
    </xdr:from>
    <xdr:ext cx="5497951" cy="1533791"/>
    <xdr:sp macro="" textlink="">
      <xdr:nvSpPr>
        <xdr:cNvPr id="128" name="Discharge19" hidden="1"/>
        <xdr:cNvSpPr/>
      </xdr:nvSpPr>
      <xdr:spPr>
        <a:xfrm rot="19115162">
          <a:off x="6092786" y="4933745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16</xdr:col>
      <xdr:colOff>129883</xdr:colOff>
      <xdr:row>21</xdr:row>
      <xdr:rowOff>34637</xdr:rowOff>
    </xdr:from>
    <xdr:ext cx="5497951" cy="1533791"/>
    <xdr:sp macro="" textlink="">
      <xdr:nvSpPr>
        <xdr:cNvPr id="130" name="Discharge20" hidden="1"/>
        <xdr:cNvSpPr/>
      </xdr:nvSpPr>
      <xdr:spPr>
        <a:xfrm rot="19115162">
          <a:off x="6165269" y="5126182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17</xdr:col>
      <xdr:colOff>181840</xdr:colOff>
      <xdr:row>21</xdr:row>
      <xdr:rowOff>8661</xdr:rowOff>
    </xdr:from>
    <xdr:ext cx="5497951" cy="1533791"/>
    <xdr:sp macro="" textlink="">
      <xdr:nvSpPr>
        <xdr:cNvPr id="131" name="Discharge21" hidden="1"/>
        <xdr:cNvSpPr/>
      </xdr:nvSpPr>
      <xdr:spPr>
        <a:xfrm rot="19115162">
          <a:off x="6502976" y="5100206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19</xdr:col>
      <xdr:colOff>104622</xdr:colOff>
      <xdr:row>21</xdr:row>
      <xdr:rowOff>178117</xdr:rowOff>
    </xdr:from>
    <xdr:ext cx="4596560" cy="1533791"/>
    <xdr:sp macro="" textlink="">
      <xdr:nvSpPr>
        <xdr:cNvPr id="132" name="Discharge22" hidden="1"/>
        <xdr:cNvSpPr/>
      </xdr:nvSpPr>
      <xdr:spPr>
        <a:xfrm rot="19115162">
          <a:off x="6997258" y="5269662"/>
          <a:ext cx="459656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20</xdr:col>
      <xdr:colOff>112568</xdr:colOff>
      <xdr:row>21</xdr:row>
      <xdr:rowOff>173184</xdr:rowOff>
    </xdr:from>
    <xdr:ext cx="4596560" cy="1533791"/>
    <xdr:sp macro="" textlink="">
      <xdr:nvSpPr>
        <xdr:cNvPr id="133" name="Discharge23" hidden="1"/>
        <xdr:cNvSpPr/>
      </xdr:nvSpPr>
      <xdr:spPr>
        <a:xfrm rot="19115162">
          <a:off x="7290954" y="5264729"/>
          <a:ext cx="459656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22</xdr:col>
      <xdr:colOff>55836</xdr:colOff>
      <xdr:row>22</xdr:row>
      <xdr:rowOff>8175</xdr:rowOff>
    </xdr:from>
    <xdr:ext cx="3731140" cy="1533791"/>
    <xdr:sp macro="" textlink="">
      <xdr:nvSpPr>
        <xdr:cNvPr id="134" name="Discharge24" hidden="1"/>
        <xdr:cNvSpPr/>
      </xdr:nvSpPr>
      <xdr:spPr>
        <a:xfrm rot="19115162">
          <a:off x="7805722" y="5402789"/>
          <a:ext cx="373114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23</xdr:col>
      <xdr:colOff>25978</xdr:colOff>
      <xdr:row>22</xdr:row>
      <xdr:rowOff>51953</xdr:rowOff>
    </xdr:from>
    <xdr:ext cx="3731140" cy="1533791"/>
    <xdr:sp macro="" textlink="">
      <xdr:nvSpPr>
        <xdr:cNvPr id="136" name="Discharge25" hidden="1"/>
        <xdr:cNvSpPr/>
      </xdr:nvSpPr>
      <xdr:spPr>
        <a:xfrm rot="19115162">
          <a:off x="8061614" y="5446567"/>
          <a:ext cx="373114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24</xdr:col>
      <xdr:colOff>16697</xdr:colOff>
      <xdr:row>22</xdr:row>
      <xdr:rowOff>278391</xdr:rowOff>
    </xdr:from>
    <xdr:ext cx="3316202" cy="1533791"/>
    <xdr:sp macro="" textlink="">
      <xdr:nvSpPr>
        <xdr:cNvPr id="138" name="Discharge26" hidden="1"/>
        <xdr:cNvSpPr/>
      </xdr:nvSpPr>
      <xdr:spPr>
        <a:xfrm rot="19115162">
          <a:off x="8338083" y="5673005"/>
          <a:ext cx="331620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25</xdr:col>
      <xdr:colOff>51955</xdr:colOff>
      <xdr:row>22</xdr:row>
      <xdr:rowOff>242455</xdr:rowOff>
    </xdr:from>
    <xdr:ext cx="3316202" cy="1533791"/>
    <xdr:sp macro="" textlink="">
      <xdr:nvSpPr>
        <xdr:cNvPr id="139" name="Discharge27" hidden="1"/>
        <xdr:cNvSpPr/>
      </xdr:nvSpPr>
      <xdr:spPr>
        <a:xfrm rot="19115162">
          <a:off x="8659091" y="5637069"/>
          <a:ext cx="331620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25</xdr:col>
      <xdr:colOff>59934</xdr:colOff>
      <xdr:row>6</xdr:row>
      <xdr:rowOff>60618</xdr:rowOff>
    </xdr:from>
    <xdr:ext cx="1533791" cy="6771861"/>
    <xdr:sp macro="" textlink="">
      <xdr:nvSpPr>
        <xdr:cNvPr id="141" name="Discharge28" hidden="1"/>
        <xdr:cNvSpPr/>
      </xdr:nvSpPr>
      <xdr:spPr>
        <a:xfrm rot="16200000">
          <a:off x="6065354" y="4013153"/>
          <a:ext cx="677186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26</xdr:col>
      <xdr:colOff>77249</xdr:colOff>
      <xdr:row>6</xdr:row>
      <xdr:rowOff>164525</xdr:rowOff>
    </xdr:from>
    <xdr:ext cx="1533791" cy="6659293"/>
    <xdr:sp macro="" textlink="">
      <xdr:nvSpPr>
        <xdr:cNvPr id="142" name="Discharge29" hidden="1"/>
        <xdr:cNvSpPr/>
      </xdr:nvSpPr>
      <xdr:spPr>
        <a:xfrm rot="16200000">
          <a:off x="6424703" y="4060776"/>
          <a:ext cx="6659293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27</xdr:col>
      <xdr:colOff>16638</xdr:colOff>
      <xdr:row>6</xdr:row>
      <xdr:rowOff>25979</xdr:rowOff>
    </xdr:from>
    <xdr:ext cx="1533791" cy="6884435"/>
    <xdr:sp macro="" textlink="">
      <xdr:nvSpPr>
        <xdr:cNvPr id="143" name="Discharge30" hidden="1"/>
        <xdr:cNvSpPr/>
      </xdr:nvSpPr>
      <xdr:spPr>
        <a:xfrm rot="16200000">
          <a:off x="6537271" y="4034801"/>
          <a:ext cx="6884435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39</xdr:col>
      <xdr:colOff>16017</xdr:colOff>
      <xdr:row>29</xdr:row>
      <xdr:rowOff>34635</xdr:rowOff>
    </xdr:to>
    <xdr:pic macro="[0]!Picture2_Click">
      <xdr:nvPicPr>
        <xdr:cNvPr id="144" name="Picture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805744" cy="7801840"/>
        </a:xfrm>
        <a:prstGeom prst="rect">
          <a:avLst/>
        </a:prstGeom>
      </xdr:spPr>
    </xdr:pic>
    <xdr:clientData/>
  </xdr:twoCellAnchor>
  <xdr:twoCellAnchor>
    <xdr:from>
      <xdr:col>33</xdr:col>
      <xdr:colOff>303066</xdr:colOff>
      <xdr:row>31</xdr:row>
      <xdr:rowOff>17319</xdr:rowOff>
    </xdr:from>
    <xdr:to>
      <xdr:col>37</xdr:col>
      <xdr:colOff>438841</xdr:colOff>
      <xdr:row>35</xdr:row>
      <xdr:rowOff>85206</xdr:rowOff>
    </xdr:to>
    <xdr:sp macro="[0]!add_status_code" textlink="">
      <xdr:nvSpPr>
        <xdr:cNvPr id="145" name="Rounded Rectangle 144"/>
        <xdr:cNvSpPr/>
      </xdr:nvSpPr>
      <xdr:spPr>
        <a:xfrm>
          <a:off x="11404021" y="8286751"/>
          <a:ext cx="2560320" cy="12801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Add/Remove</a:t>
          </a:r>
          <a:r>
            <a:rPr lang="en-US" sz="3200" baseline="0"/>
            <a:t> Status Code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.OT%20Med%20A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ands"/>
      <sheetName val="Sheet1"/>
      <sheetName val=".OT Med A Template"/>
    </sheetNames>
    <definedNames>
      <definedName name="Picture3_Click"/>
    </definedNames>
    <sheetDataSet>
      <sheetData sheetId="0"/>
      <sheetData sheetId="1">
        <row r="34">
          <cell r="AG34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</a:spPr>
      <a:bodyPr vertOverflow="clip" horzOverflow="clip" rtlCol="0" anchor="ctr"/>
      <a:lstStyle>
        <a:defPPr algn="ctr">
          <a:defRPr sz="24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ctrlProp" Target="../ctrlProps/ctrlProp34.xml"/><Relationship Id="rId21" Type="http://schemas.openxmlformats.org/officeDocument/2006/relationships/image" Target="../media/image10.emf"/><Relationship Id="rId42" Type="http://schemas.openxmlformats.org/officeDocument/2006/relationships/control" Target="../activeX/activeX20.xml"/><Relationship Id="rId47" Type="http://schemas.openxmlformats.org/officeDocument/2006/relationships/image" Target="../media/image23.emf"/><Relationship Id="rId63" Type="http://schemas.openxmlformats.org/officeDocument/2006/relationships/image" Target="../media/image31.emf"/><Relationship Id="rId68" Type="http://schemas.openxmlformats.org/officeDocument/2006/relationships/control" Target="../activeX/activeX33.xml"/><Relationship Id="rId84" Type="http://schemas.openxmlformats.org/officeDocument/2006/relationships/ctrlProp" Target="../ctrlProps/ctrlProp1.xml"/><Relationship Id="rId89" Type="http://schemas.openxmlformats.org/officeDocument/2006/relationships/ctrlProp" Target="../ctrlProps/ctrlProp6.xml"/><Relationship Id="rId112" Type="http://schemas.openxmlformats.org/officeDocument/2006/relationships/ctrlProp" Target="../ctrlProps/ctrlProp29.xml"/><Relationship Id="rId133" Type="http://schemas.openxmlformats.org/officeDocument/2006/relationships/ctrlProp" Target="../ctrlProps/ctrlProp50.xml"/><Relationship Id="rId138" Type="http://schemas.openxmlformats.org/officeDocument/2006/relationships/ctrlProp" Target="../ctrlProps/ctrlProp55.xml"/><Relationship Id="rId154" Type="http://schemas.openxmlformats.org/officeDocument/2006/relationships/ctrlProp" Target="../ctrlProps/ctrlProp71.xml"/><Relationship Id="rId159" Type="http://schemas.openxmlformats.org/officeDocument/2006/relationships/ctrlProp" Target="../ctrlProps/ctrlProp76.xml"/><Relationship Id="rId175" Type="http://schemas.openxmlformats.org/officeDocument/2006/relationships/ctrlProp" Target="../ctrlProps/ctrlProp92.xml"/><Relationship Id="rId170" Type="http://schemas.openxmlformats.org/officeDocument/2006/relationships/ctrlProp" Target="../ctrlProps/ctrlProp87.xml"/><Relationship Id="rId16" Type="http://schemas.openxmlformats.org/officeDocument/2006/relationships/control" Target="../activeX/activeX7.xml"/><Relationship Id="rId107" Type="http://schemas.openxmlformats.org/officeDocument/2006/relationships/ctrlProp" Target="../ctrlProps/ctrlProp24.xml"/><Relationship Id="rId11" Type="http://schemas.openxmlformats.org/officeDocument/2006/relationships/image" Target="../media/image5.emf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53" Type="http://schemas.openxmlformats.org/officeDocument/2006/relationships/image" Target="../media/image26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9.emf"/><Relationship Id="rId102" Type="http://schemas.openxmlformats.org/officeDocument/2006/relationships/ctrlProp" Target="../ctrlProps/ctrlProp19.xml"/><Relationship Id="rId123" Type="http://schemas.openxmlformats.org/officeDocument/2006/relationships/ctrlProp" Target="../ctrlProps/ctrlProp40.xml"/><Relationship Id="rId128" Type="http://schemas.openxmlformats.org/officeDocument/2006/relationships/ctrlProp" Target="../ctrlProps/ctrlProp45.xml"/><Relationship Id="rId144" Type="http://schemas.openxmlformats.org/officeDocument/2006/relationships/ctrlProp" Target="../ctrlProps/ctrlProp61.xml"/><Relationship Id="rId149" Type="http://schemas.openxmlformats.org/officeDocument/2006/relationships/ctrlProp" Target="../ctrlProps/ctrlProp66.xml"/><Relationship Id="rId5" Type="http://schemas.openxmlformats.org/officeDocument/2006/relationships/image" Target="../media/image2.emf"/><Relationship Id="rId90" Type="http://schemas.openxmlformats.org/officeDocument/2006/relationships/ctrlProp" Target="../ctrlProps/ctrlProp7.xml"/><Relationship Id="rId95" Type="http://schemas.openxmlformats.org/officeDocument/2006/relationships/ctrlProp" Target="../ctrlProps/ctrlProp12.xml"/><Relationship Id="rId160" Type="http://schemas.openxmlformats.org/officeDocument/2006/relationships/ctrlProp" Target="../ctrlProps/ctrlProp77.xml"/><Relationship Id="rId165" Type="http://schemas.openxmlformats.org/officeDocument/2006/relationships/ctrlProp" Target="../ctrlProps/ctrlProp82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43" Type="http://schemas.openxmlformats.org/officeDocument/2006/relationships/image" Target="../media/image21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4.emf"/><Relationship Id="rId113" Type="http://schemas.openxmlformats.org/officeDocument/2006/relationships/ctrlProp" Target="../ctrlProps/ctrlProp30.xml"/><Relationship Id="rId118" Type="http://schemas.openxmlformats.org/officeDocument/2006/relationships/ctrlProp" Target="../ctrlProps/ctrlProp35.xml"/><Relationship Id="rId134" Type="http://schemas.openxmlformats.org/officeDocument/2006/relationships/ctrlProp" Target="../ctrlProps/ctrlProp51.xml"/><Relationship Id="rId139" Type="http://schemas.openxmlformats.org/officeDocument/2006/relationships/ctrlProp" Target="../ctrlProps/ctrlProp56.xml"/><Relationship Id="rId80" Type="http://schemas.openxmlformats.org/officeDocument/2006/relationships/control" Target="../activeX/activeX39.xml"/><Relationship Id="rId85" Type="http://schemas.openxmlformats.org/officeDocument/2006/relationships/ctrlProp" Target="../ctrlProps/ctrlProp2.xml"/><Relationship Id="rId150" Type="http://schemas.openxmlformats.org/officeDocument/2006/relationships/ctrlProp" Target="../ctrlProps/ctrlProp67.xml"/><Relationship Id="rId155" Type="http://schemas.openxmlformats.org/officeDocument/2006/relationships/ctrlProp" Target="../ctrlProps/ctrlProp72.xml"/><Relationship Id="rId171" Type="http://schemas.openxmlformats.org/officeDocument/2006/relationships/ctrlProp" Target="../ctrlProps/ctrlProp88.xml"/><Relationship Id="rId176" Type="http://schemas.openxmlformats.org/officeDocument/2006/relationships/ctrlProp" Target="../ctrlProps/ctrlProp93.xml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59" Type="http://schemas.openxmlformats.org/officeDocument/2006/relationships/image" Target="../media/image29.emf"/><Relationship Id="rId103" Type="http://schemas.openxmlformats.org/officeDocument/2006/relationships/ctrlProp" Target="../ctrlProps/ctrlProp20.xml"/><Relationship Id="rId108" Type="http://schemas.openxmlformats.org/officeDocument/2006/relationships/ctrlProp" Target="../ctrlProps/ctrlProp25.xml"/><Relationship Id="rId124" Type="http://schemas.openxmlformats.org/officeDocument/2006/relationships/ctrlProp" Target="../ctrlProps/ctrlProp41.xml"/><Relationship Id="rId129" Type="http://schemas.openxmlformats.org/officeDocument/2006/relationships/ctrlProp" Target="../ctrlProps/ctrlProp46.xml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7.emf"/><Relationship Id="rId91" Type="http://schemas.openxmlformats.org/officeDocument/2006/relationships/ctrlProp" Target="../ctrlProps/ctrlProp8.xml"/><Relationship Id="rId96" Type="http://schemas.openxmlformats.org/officeDocument/2006/relationships/ctrlProp" Target="../ctrlProps/ctrlProp13.xml"/><Relationship Id="rId140" Type="http://schemas.openxmlformats.org/officeDocument/2006/relationships/ctrlProp" Target="../ctrlProps/ctrlProp57.xml"/><Relationship Id="rId145" Type="http://schemas.openxmlformats.org/officeDocument/2006/relationships/ctrlProp" Target="../ctrlProps/ctrlProp62.xml"/><Relationship Id="rId161" Type="http://schemas.openxmlformats.org/officeDocument/2006/relationships/ctrlProp" Target="../ctrlProps/ctrlProp78.xml"/><Relationship Id="rId166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49" Type="http://schemas.openxmlformats.org/officeDocument/2006/relationships/image" Target="../media/image24.emf"/><Relationship Id="rId114" Type="http://schemas.openxmlformats.org/officeDocument/2006/relationships/ctrlProp" Target="../ctrlProps/ctrlProp31.xml"/><Relationship Id="rId119" Type="http://schemas.openxmlformats.org/officeDocument/2006/relationships/ctrlProp" Target="../ctrlProps/ctrlProp36.xml"/><Relationship Id="rId10" Type="http://schemas.openxmlformats.org/officeDocument/2006/relationships/control" Target="../activeX/activeX4.xml"/><Relationship Id="rId31" Type="http://schemas.openxmlformats.org/officeDocument/2006/relationships/image" Target="../media/image15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2.emf"/><Relationship Id="rId73" Type="http://schemas.openxmlformats.org/officeDocument/2006/relationships/image" Target="../media/image36.emf"/><Relationship Id="rId78" Type="http://schemas.openxmlformats.org/officeDocument/2006/relationships/control" Target="../activeX/activeX38.xml"/><Relationship Id="rId81" Type="http://schemas.openxmlformats.org/officeDocument/2006/relationships/image" Target="../media/image40.emf"/><Relationship Id="rId86" Type="http://schemas.openxmlformats.org/officeDocument/2006/relationships/ctrlProp" Target="../ctrlProps/ctrlProp3.xml"/><Relationship Id="rId94" Type="http://schemas.openxmlformats.org/officeDocument/2006/relationships/ctrlProp" Target="../ctrlProps/ctrlProp11.xml"/><Relationship Id="rId99" Type="http://schemas.openxmlformats.org/officeDocument/2006/relationships/ctrlProp" Target="../ctrlProps/ctrlProp16.xml"/><Relationship Id="rId101" Type="http://schemas.openxmlformats.org/officeDocument/2006/relationships/ctrlProp" Target="../ctrlProps/ctrlProp18.xml"/><Relationship Id="rId122" Type="http://schemas.openxmlformats.org/officeDocument/2006/relationships/ctrlProp" Target="../ctrlProps/ctrlProp39.xml"/><Relationship Id="rId130" Type="http://schemas.openxmlformats.org/officeDocument/2006/relationships/ctrlProp" Target="../ctrlProps/ctrlProp47.xml"/><Relationship Id="rId135" Type="http://schemas.openxmlformats.org/officeDocument/2006/relationships/ctrlProp" Target="../ctrlProps/ctrlProp52.xml"/><Relationship Id="rId143" Type="http://schemas.openxmlformats.org/officeDocument/2006/relationships/ctrlProp" Target="../ctrlProps/ctrlProp60.xml"/><Relationship Id="rId148" Type="http://schemas.openxmlformats.org/officeDocument/2006/relationships/ctrlProp" Target="../ctrlProps/ctrlProp65.xml"/><Relationship Id="rId151" Type="http://schemas.openxmlformats.org/officeDocument/2006/relationships/ctrlProp" Target="../ctrlProps/ctrlProp68.xml"/><Relationship Id="rId156" Type="http://schemas.openxmlformats.org/officeDocument/2006/relationships/ctrlProp" Target="../ctrlProps/ctrlProp73.xml"/><Relationship Id="rId164" Type="http://schemas.openxmlformats.org/officeDocument/2006/relationships/ctrlProp" Target="../ctrlProps/ctrlProp81.xml"/><Relationship Id="rId169" Type="http://schemas.openxmlformats.org/officeDocument/2006/relationships/ctrlProp" Target="../ctrlProps/ctrlProp86.xml"/><Relationship Id="rId177" Type="http://schemas.openxmlformats.org/officeDocument/2006/relationships/ctrlProp" Target="../ctrlProps/ctrlProp9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72" Type="http://schemas.openxmlformats.org/officeDocument/2006/relationships/ctrlProp" Target="../ctrlProps/ctrlProp89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9" Type="http://schemas.openxmlformats.org/officeDocument/2006/relationships/image" Target="../media/image19.emf"/><Relationship Id="rId109" Type="http://schemas.openxmlformats.org/officeDocument/2006/relationships/ctrlProp" Target="../ctrlProps/ctrlProp26.xml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7.emf"/><Relationship Id="rId76" Type="http://schemas.openxmlformats.org/officeDocument/2006/relationships/control" Target="../activeX/activeX37.xml"/><Relationship Id="rId97" Type="http://schemas.openxmlformats.org/officeDocument/2006/relationships/ctrlProp" Target="../ctrlProps/ctrlProp14.xml"/><Relationship Id="rId104" Type="http://schemas.openxmlformats.org/officeDocument/2006/relationships/ctrlProp" Target="../ctrlProps/ctrlProp21.xml"/><Relationship Id="rId120" Type="http://schemas.openxmlformats.org/officeDocument/2006/relationships/ctrlProp" Target="../ctrlProps/ctrlProp37.xml"/><Relationship Id="rId125" Type="http://schemas.openxmlformats.org/officeDocument/2006/relationships/ctrlProp" Target="../ctrlProps/ctrlProp42.xml"/><Relationship Id="rId141" Type="http://schemas.openxmlformats.org/officeDocument/2006/relationships/ctrlProp" Target="../ctrlProps/ctrlProp58.xml"/><Relationship Id="rId146" Type="http://schemas.openxmlformats.org/officeDocument/2006/relationships/ctrlProp" Target="../ctrlProps/ctrlProp63.xml"/><Relationship Id="rId167" Type="http://schemas.openxmlformats.org/officeDocument/2006/relationships/ctrlProp" Target="../ctrlProps/ctrlProp84.xml"/><Relationship Id="rId7" Type="http://schemas.openxmlformats.org/officeDocument/2006/relationships/image" Target="../media/image3.emf"/><Relationship Id="rId71" Type="http://schemas.openxmlformats.org/officeDocument/2006/relationships/image" Target="../media/image35.emf"/><Relationship Id="rId92" Type="http://schemas.openxmlformats.org/officeDocument/2006/relationships/ctrlProp" Target="../ctrlProps/ctrlProp9.xml"/><Relationship Id="rId162" Type="http://schemas.openxmlformats.org/officeDocument/2006/relationships/ctrlProp" Target="../ctrlProps/ctrlProp79.xml"/><Relationship Id="rId2" Type="http://schemas.openxmlformats.org/officeDocument/2006/relationships/drawing" Target="../drawings/drawing2.xml"/><Relationship Id="rId29" Type="http://schemas.openxmlformats.org/officeDocument/2006/relationships/image" Target="../media/image14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2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4.xml"/><Relationship Id="rId110" Type="http://schemas.openxmlformats.org/officeDocument/2006/relationships/ctrlProp" Target="../ctrlProps/ctrlProp27.xml"/><Relationship Id="rId115" Type="http://schemas.openxmlformats.org/officeDocument/2006/relationships/ctrlProp" Target="../ctrlProps/ctrlProp32.xml"/><Relationship Id="rId131" Type="http://schemas.openxmlformats.org/officeDocument/2006/relationships/ctrlProp" Target="../ctrlProps/ctrlProp48.xml"/><Relationship Id="rId136" Type="http://schemas.openxmlformats.org/officeDocument/2006/relationships/ctrlProp" Target="../ctrlProps/ctrlProp53.xml"/><Relationship Id="rId157" Type="http://schemas.openxmlformats.org/officeDocument/2006/relationships/ctrlProp" Target="../ctrlProps/ctrlProp74.xml"/><Relationship Id="rId61" Type="http://schemas.openxmlformats.org/officeDocument/2006/relationships/image" Target="../media/image30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69.xml"/><Relationship Id="rId173" Type="http://schemas.openxmlformats.org/officeDocument/2006/relationships/ctrlProp" Target="../ctrlProps/ctrlProp90.xml"/><Relationship Id="rId19" Type="http://schemas.openxmlformats.org/officeDocument/2006/relationships/image" Target="../media/image9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Relationship Id="rId56" Type="http://schemas.openxmlformats.org/officeDocument/2006/relationships/control" Target="../activeX/activeX27.xml"/><Relationship Id="rId77" Type="http://schemas.openxmlformats.org/officeDocument/2006/relationships/image" Target="../media/image38.emf"/><Relationship Id="rId100" Type="http://schemas.openxmlformats.org/officeDocument/2006/relationships/ctrlProp" Target="../ctrlProps/ctrlProp17.xml"/><Relationship Id="rId105" Type="http://schemas.openxmlformats.org/officeDocument/2006/relationships/ctrlProp" Target="../ctrlProps/ctrlProp22.xml"/><Relationship Id="rId126" Type="http://schemas.openxmlformats.org/officeDocument/2006/relationships/ctrlProp" Target="../ctrlProps/ctrlProp43.xml"/><Relationship Id="rId147" Type="http://schemas.openxmlformats.org/officeDocument/2006/relationships/ctrlProp" Target="../ctrlProps/ctrlProp64.xml"/><Relationship Id="rId168" Type="http://schemas.openxmlformats.org/officeDocument/2006/relationships/ctrlProp" Target="../ctrlProps/ctrlProp85.xml"/><Relationship Id="rId8" Type="http://schemas.openxmlformats.org/officeDocument/2006/relationships/control" Target="../activeX/activeX3.xml"/><Relationship Id="rId51" Type="http://schemas.openxmlformats.org/officeDocument/2006/relationships/image" Target="../media/image25.emf"/><Relationship Id="rId72" Type="http://schemas.openxmlformats.org/officeDocument/2006/relationships/control" Target="../activeX/activeX35.xml"/><Relationship Id="rId93" Type="http://schemas.openxmlformats.org/officeDocument/2006/relationships/ctrlProp" Target="../ctrlProps/ctrlProp10.xml"/><Relationship Id="rId98" Type="http://schemas.openxmlformats.org/officeDocument/2006/relationships/ctrlProp" Target="../ctrlProps/ctrlProp15.xml"/><Relationship Id="rId121" Type="http://schemas.openxmlformats.org/officeDocument/2006/relationships/ctrlProp" Target="../ctrlProps/ctrlProp38.xml"/><Relationship Id="rId142" Type="http://schemas.openxmlformats.org/officeDocument/2006/relationships/ctrlProp" Target="../ctrlProps/ctrlProp59.xml"/><Relationship Id="rId163" Type="http://schemas.openxmlformats.org/officeDocument/2006/relationships/ctrlProp" Target="../ctrlProps/ctrlProp8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2.emf"/><Relationship Id="rId46" Type="http://schemas.openxmlformats.org/officeDocument/2006/relationships/control" Target="../activeX/activeX22.xml"/><Relationship Id="rId67" Type="http://schemas.openxmlformats.org/officeDocument/2006/relationships/image" Target="../media/image33.emf"/><Relationship Id="rId116" Type="http://schemas.openxmlformats.org/officeDocument/2006/relationships/ctrlProp" Target="../ctrlProps/ctrlProp33.xml"/><Relationship Id="rId137" Type="http://schemas.openxmlformats.org/officeDocument/2006/relationships/ctrlProp" Target="../ctrlProps/ctrlProp54.xml"/><Relationship Id="rId158" Type="http://schemas.openxmlformats.org/officeDocument/2006/relationships/ctrlProp" Target="../ctrlProps/ctrlProp75.xml"/><Relationship Id="rId20" Type="http://schemas.openxmlformats.org/officeDocument/2006/relationships/control" Target="../activeX/activeX9.xml"/><Relationship Id="rId41" Type="http://schemas.openxmlformats.org/officeDocument/2006/relationships/image" Target="../media/image20.emf"/><Relationship Id="rId62" Type="http://schemas.openxmlformats.org/officeDocument/2006/relationships/control" Target="../activeX/activeX30.xml"/><Relationship Id="rId83" Type="http://schemas.openxmlformats.org/officeDocument/2006/relationships/image" Target="../media/image41.emf"/><Relationship Id="rId88" Type="http://schemas.openxmlformats.org/officeDocument/2006/relationships/ctrlProp" Target="../ctrlProps/ctrlProp5.xml"/><Relationship Id="rId111" Type="http://schemas.openxmlformats.org/officeDocument/2006/relationships/ctrlProp" Target="../ctrlProps/ctrlProp28.xml"/><Relationship Id="rId132" Type="http://schemas.openxmlformats.org/officeDocument/2006/relationships/ctrlProp" Target="../ctrlProps/ctrlProp49.xml"/><Relationship Id="rId153" Type="http://schemas.openxmlformats.org/officeDocument/2006/relationships/ctrlProp" Target="../ctrlProps/ctrlProp70.xml"/><Relationship Id="rId174" Type="http://schemas.openxmlformats.org/officeDocument/2006/relationships/ctrlProp" Target="../ctrlProps/ctrlProp91.xml"/><Relationship Id="rId15" Type="http://schemas.openxmlformats.org/officeDocument/2006/relationships/image" Target="../media/image7.emf"/><Relationship Id="rId36" Type="http://schemas.openxmlformats.org/officeDocument/2006/relationships/control" Target="../activeX/activeX17.xml"/><Relationship Id="rId57" Type="http://schemas.openxmlformats.org/officeDocument/2006/relationships/image" Target="../media/image28.emf"/><Relationship Id="rId106" Type="http://schemas.openxmlformats.org/officeDocument/2006/relationships/ctrlProp" Target="../ctrlProps/ctrlProp23.xml"/><Relationship Id="rId127" Type="http://schemas.openxmlformats.org/officeDocument/2006/relationships/ctrlProp" Target="../ctrlProps/ctrlProp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L35"/>
  <sheetViews>
    <sheetView tabSelected="1" topLeftCell="B1" zoomScale="180" zoomScaleNormal="180" workbookViewId="0">
      <selection activeCell="D10" sqref="D10"/>
    </sheetView>
  </sheetViews>
  <sheetFormatPr defaultRowHeight="15" x14ac:dyDescent="0.25"/>
  <cols>
    <col min="1" max="1" width="6.85546875" style="66" hidden="1" customWidth="1"/>
    <col min="2" max="2" width="5.85546875" style="66" customWidth="1"/>
    <col min="3" max="3" width="4.140625" style="66" customWidth="1"/>
    <col min="4" max="4" width="8.42578125" style="66" customWidth="1"/>
    <col min="5" max="5" width="1.28515625" style="66" customWidth="1"/>
    <col min="6" max="6" width="6.28515625" style="66" customWidth="1"/>
    <col min="7" max="7" width="1.28515625" style="66" customWidth="1"/>
    <col min="8" max="8" width="16.28515625" style="66" customWidth="1"/>
    <col min="9" max="9" width="15.42578125" style="66" customWidth="1"/>
    <col min="10" max="10" width="6.85546875" style="66" customWidth="1"/>
    <col min="11" max="11" width="5.85546875" style="66" customWidth="1"/>
    <col min="12" max="12" width="6.140625" style="66" customWidth="1"/>
    <col min="13" max="16384" width="9.140625" style="66"/>
  </cols>
  <sheetData>
    <row r="3" spans="1:12" ht="15.75" thickBot="1" x14ac:dyDescent="0.3"/>
    <row r="4" spans="1:12" ht="15.75" thickBot="1" x14ac:dyDescent="0.3">
      <c r="J4" s="89" t="s">
        <v>54</v>
      </c>
      <c r="K4" s="90"/>
      <c r="L4" s="91"/>
    </row>
    <row r="5" spans="1:12" ht="7.5" customHeight="1" x14ac:dyDescent="0.25"/>
    <row r="6" spans="1:12" ht="9.75" customHeight="1" x14ac:dyDescent="0.25"/>
    <row r="7" spans="1:12" x14ac:dyDescent="0.25">
      <c r="A7" s="66" t="s">
        <v>55</v>
      </c>
    </row>
    <row r="8" spans="1:12" x14ac:dyDescent="0.25">
      <c r="A8" s="66" t="b">
        <f>IF(D10="Jan", 1, IF(D10="Feb", 2, IF(D10="Mar", 3, IF(D10="Apr", 4, IF(D10="May", 5, IF(D10="Jun", 6, IF(D10="Jul", 7, IF(D10="Aug", 8, IF(D10="Sep", 9, IF(D10="Oct", 10, IF(D10="Nov", 11, IF(D10="Dec", 12))))))))))))</f>
        <v>0</v>
      </c>
    </row>
    <row r="9" spans="1:12" ht="12.75" customHeight="1" x14ac:dyDescent="0.35">
      <c r="A9" s="66" t="s">
        <v>56</v>
      </c>
      <c r="D9" s="67" t="s">
        <v>57</v>
      </c>
      <c r="E9" s="68"/>
      <c r="F9" s="69" t="s">
        <v>58</v>
      </c>
      <c r="G9" s="70"/>
      <c r="H9" s="67" t="s">
        <v>59</v>
      </c>
      <c r="I9" s="71" t="s">
        <v>60</v>
      </c>
      <c r="J9" s="72"/>
    </row>
    <row r="10" spans="1:12" ht="6.75" customHeight="1" x14ac:dyDescent="0.25">
      <c r="A10" s="66" t="b">
        <f>IF(F10=2016, 16, IF(F10=2017, 17))</f>
        <v>0</v>
      </c>
      <c r="D10" s="73"/>
      <c r="E10" s="74" t="str">
        <f>HYPERLINK("#"&amp;ADDRESS(ROW(),COLUMN()-1),"q")</f>
        <v>q</v>
      </c>
      <c r="F10" s="75"/>
      <c r="G10" s="74" t="str">
        <f>HYPERLINK("#"&amp;ADDRESS(ROW(),COLUMN()-1),"q")</f>
        <v>q</v>
      </c>
      <c r="H10" s="76"/>
      <c r="I10" s="77"/>
      <c r="J10" s="78"/>
    </row>
    <row r="11" spans="1:12" ht="15.75" thickBot="1" x14ac:dyDescent="0.3"/>
    <row r="12" spans="1:12" x14ac:dyDescent="0.25">
      <c r="C12" s="79" t="s">
        <v>61</v>
      </c>
      <c r="D12" s="80"/>
      <c r="E12" s="80"/>
      <c r="F12" s="80" t="s">
        <v>62</v>
      </c>
      <c r="G12" s="80"/>
      <c r="H12" s="80"/>
      <c r="I12" s="80"/>
      <c r="J12" s="81"/>
    </row>
    <row r="13" spans="1:12" x14ac:dyDescent="0.25">
      <c r="C13" s="82"/>
      <c r="D13" s="83" t="s">
        <v>63</v>
      </c>
      <c r="E13" s="83"/>
      <c r="F13" s="83"/>
      <c r="G13" s="83"/>
      <c r="H13" s="83"/>
      <c r="I13" s="83"/>
      <c r="J13" s="84"/>
    </row>
    <row r="14" spans="1:12" ht="15.75" thickBot="1" x14ac:dyDescent="0.3">
      <c r="C14" s="85"/>
      <c r="D14" s="86" t="s">
        <v>64</v>
      </c>
      <c r="E14" s="86"/>
      <c r="F14" s="86"/>
      <c r="G14" s="86"/>
      <c r="H14" s="86"/>
      <c r="I14" s="86"/>
      <c r="J14" s="87"/>
    </row>
    <row r="15" spans="1:12" x14ac:dyDescent="0.25">
      <c r="D15" s="83"/>
      <c r="E15" s="83"/>
      <c r="F15" s="83"/>
      <c r="G15" s="83"/>
      <c r="H15" s="83"/>
      <c r="I15" s="83"/>
      <c r="J15" s="83"/>
    </row>
    <row r="17" spans="1:2" ht="18" customHeight="1" x14ac:dyDescent="0.25">
      <c r="A17" s="66">
        <v>2017</v>
      </c>
    </row>
    <row r="18" spans="1:2" x14ac:dyDescent="0.25">
      <c r="A18" s="66">
        <v>2018</v>
      </c>
    </row>
    <row r="19" spans="1:2" x14ac:dyDescent="0.25">
      <c r="A19" s="66" t="str">
        <f>LEFT(H10, 11)</f>
        <v/>
      </c>
    </row>
    <row r="20" spans="1:2" x14ac:dyDescent="0.25">
      <c r="A20" s="66" t="str">
        <f>LEFT(I10, 1)</f>
        <v/>
      </c>
    </row>
    <row r="22" spans="1:2" x14ac:dyDescent="0.25">
      <c r="B22" s="88"/>
    </row>
    <row r="24" spans="1:2" x14ac:dyDescent="0.25">
      <c r="A24" s="66" t="s">
        <v>65</v>
      </c>
    </row>
    <row r="25" spans="1:2" x14ac:dyDescent="0.25">
      <c r="A25" s="66" t="s">
        <v>66</v>
      </c>
    </row>
    <row r="26" spans="1:2" x14ac:dyDescent="0.25">
      <c r="A26" s="66" t="s">
        <v>67</v>
      </c>
    </row>
    <row r="27" spans="1:2" x14ac:dyDescent="0.25">
      <c r="A27" s="66" t="s">
        <v>68</v>
      </c>
    </row>
    <row r="28" spans="1:2" x14ac:dyDescent="0.25">
      <c r="A28" s="66" t="s">
        <v>69</v>
      </c>
    </row>
    <row r="29" spans="1:2" x14ac:dyDescent="0.25">
      <c r="A29" s="66" t="s">
        <v>70</v>
      </c>
    </row>
    <row r="30" spans="1:2" x14ac:dyDescent="0.25">
      <c r="A30" s="66" t="s">
        <v>71</v>
      </c>
    </row>
    <row r="31" spans="1:2" x14ac:dyDescent="0.25">
      <c r="A31" s="66" t="s">
        <v>72</v>
      </c>
    </row>
    <row r="32" spans="1:2" x14ac:dyDescent="0.25">
      <c r="A32" s="66" t="s">
        <v>73</v>
      </c>
    </row>
    <row r="33" spans="1:1" x14ac:dyDescent="0.25">
      <c r="A33" s="66" t="s">
        <v>74</v>
      </c>
    </row>
    <row r="34" spans="1:1" x14ac:dyDescent="0.25">
      <c r="A34" s="66" t="s">
        <v>75</v>
      </c>
    </row>
    <row r="35" spans="1:1" x14ac:dyDescent="0.25">
      <c r="A35" s="66" t="s">
        <v>76</v>
      </c>
    </row>
  </sheetData>
  <sheetProtection password="A2E9" sheet="1" objects="1" scenarios="1" selectLockedCells="1"/>
  <mergeCells count="1">
    <mergeCell ref="J4:L4"/>
  </mergeCells>
  <dataValidations count="2">
    <dataValidation type="list" allowBlank="1" showInputMessage="1" showErrorMessage="1" sqref="D10">
      <formula1>A24:A35</formula1>
    </dataValidation>
    <dataValidation type="list" allowBlank="1" showInputMessage="1" showErrorMessage="1" sqref="F10">
      <formula1>$A$17:$A$18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L94"/>
  <sheetViews>
    <sheetView zoomScale="110" zoomScaleNormal="11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P2" sqref="P2:R2"/>
    </sheetView>
  </sheetViews>
  <sheetFormatPr defaultRowHeight="12.75" x14ac:dyDescent="0.2"/>
  <cols>
    <col min="1" max="1" width="27" style="19" customWidth="1"/>
    <col min="2" max="2" width="4.5703125" style="19" customWidth="1"/>
    <col min="3" max="32" width="4.28515625" style="19" customWidth="1"/>
    <col min="33" max="33" width="7.140625" style="19" customWidth="1"/>
    <col min="34" max="220" width="9.140625" style="19"/>
    <col min="221" max="221" width="18.85546875" style="19" customWidth="1"/>
    <col min="222" max="222" width="3.5703125" style="19" customWidth="1"/>
    <col min="223" max="223" width="3.85546875" style="19" customWidth="1"/>
    <col min="224" max="252" width="3.5703125" style="19" customWidth="1"/>
    <col min="253" max="253" width="7.140625" style="19" customWidth="1"/>
    <col min="254" max="476" width="9.140625" style="19"/>
    <col min="477" max="477" width="18.85546875" style="19" customWidth="1"/>
    <col min="478" max="478" width="3.5703125" style="19" customWidth="1"/>
    <col min="479" max="479" width="3.85546875" style="19" customWidth="1"/>
    <col min="480" max="508" width="3.5703125" style="19" customWidth="1"/>
    <col min="509" max="509" width="7.140625" style="19" customWidth="1"/>
    <col min="510" max="732" width="9.140625" style="19"/>
    <col min="733" max="733" width="18.85546875" style="19" customWidth="1"/>
    <col min="734" max="734" width="3.5703125" style="19" customWidth="1"/>
    <col min="735" max="735" width="3.85546875" style="19" customWidth="1"/>
    <col min="736" max="764" width="3.5703125" style="19" customWidth="1"/>
    <col min="765" max="765" width="7.140625" style="19" customWidth="1"/>
    <col min="766" max="988" width="9.140625" style="19"/>
    <col min="989" max="989" width="18.85546875" style="19" customWidth="1"/>
    <col min="990" max="990" width="3.5703125" style="19" customWidth="1"/>
    <col min="991" max="991" width="3.85546875" style="19" customWidth="1"/>
    <col min="992" max="1020" width="3.5703125" style="19" customWidth="1"/>
    <col min="1021" max="1021" width="7.140625" style="19" customWidth="1"/>
    <col min="1022" max="1244" width="9.140625" style="19"/>
    <col min="1245" max="1245" width="18.85546875" style="19" customWidth="1"/>
    <col min="1246" max="1246" width="3.5703125" style="19" customWidth="1"/>
    <col min="1247" max="1247" width="3.85546875" style="19" customWidth="1"/>
    <col min="1248" max="1276" width="3.5703125" style="19" customWidth="1"/>
    <col min="1277" max="1277" width="7.140625" style="19" customWidth="1"/>
    <col min="1278" max="1500" width="9.140625" style="19"/>
    <col min="1501" max="1501" width="18.85546875" style="19" customWidth="1"/>
    <col min="1502" max="1502" width="3.5703125" style="19" customWidth="1"/>
    <col min="1503" max="1503" width="3.85546875" style="19" customWidth="1"/>
    <col min="1504" max="1532" width="3.5703125" style="19" customWidth="1"/>
    <col min="1533" max="1533" width="7.140625" style="19" customWidth="1"/>
    <col min="1534" max="1756" width="9.140625" style="19"/>
    <col min="1757" max="1757" width="18.85546875" style="19" customWidth="1"/>
    <col min="1758" max="1758" width="3.5703125" style="19" customWidth="1"/>
    <col min="1759" max="1759" width="3.85546875" style="19" customWidth="1"/>
    <col min="1760" max="1788" width="3.5703125" style="19" customWidth="1"/>
    <col min="1789" max="1789" width="7.140625" style="19" customWidth="1"/>
    <col min="1790" max="2012" width="9.140625" style="19"/>
    <col min="2013" max="2013" width="18.85546875" style="19" customWidth="1"/>
    <col min="2014" max="2014" width="3.5703125" style="19" customWidth="1"/>
    <col min="2015" max="2015" width="3.85546875" style="19" customWidth="1"/>
    <col min="2016" max="2044" width="3.5703125" style="19" customWidth="1"/>
    <col min="2045" max="2045" width="7.140625" style="19" customWidth="1"/>
    <col min="2046" max="2268" width="9.140625" style="19"/>
    <col min="2269" max="2269" width="18.85546875" style="19" customWidth="1"/>
    <col min="2270" max="2270" width="3.5703125" style="19" customWidth="1"/>
    <col min="2271" max="2271" width="3.85546875" style="19" customWidth="1"/>
    <col min="2272" max="2300" width="3.5703125" style="19" customWidth="1"/>
    <col min="2301" max="2301" width="7.140625" style="19" customWidth="1"/>
    <col min="2302" max="2524" width="9.140625" style="19"/>
    <col min="2525" max="2525" width="18.85546875" style="19" customWidth="1"/>
    <col min="2526" max="2526" width="3.5703125" style="19" customWidth="1"/>
    <col min="2527" max="2527" width="3.85546875" style="19" customWidth="1"/>
    <col min="2528" max="2556" width="3.5703125" style="19" customWidth="1"/>
    <col min="2557" max="2557" width="7.140625" style="19" customWidth="1"/>
    <col min="2558" max="2780" width="9.140625" style="19"/>
    <col min="2781" max="2781" width="18.85546875" style="19" customWidth="1"/>
    <col min="2782" max="2782" width="3.5703125" style="19" customWidth="1"/>
    <col min="2783" max="2783" width="3.85546875" style="19" customWidth="1"/>
    <col min="2784" max="2812" width="3.5703125" style="19" customWidth="1"/>
    <col min="2813" max="2813" width="7.140625" style="19" customWidth="1"/>
    <col min="2814" max="3036" width="9.140625" style="19"/>
    <col min="3037" max="3037" width="18.85546875" style="19" customWidth="1"/>
    <col min="3038" max="3038" width="3.5703125" style="19" customWidth="1"/>
    <col min="3039" max="3039" width="3.85546875" style="19" customWidth="1"/>
    <col min="3040" max="3068" width="3.5703125" style="19" customWidth="1"/>
    <col min="3069" max="3069" width="7.140625" style="19" customWidth="1"/>
    <col min="3070" max="3292" width="9.140625" style="19"/>
    <col min="3293" max="3293" width="18.85546875" style="19" customWidth="1"/>
    <col min="3294" max="3294" width="3.5703125" style="19" customWidth="1"/>
    <col min="3295" max="3295" width="3.85546875" style="19" customWidth="1"/>
    <col min="3296" max="3324" width="3.5703125" style="19" customWidth="1"/>
    <col min="3325" max="3325" width="7.140625" style="19" customWidth="1"/>
    <col min="3326" max="3548" width="9.140625" style="19"/>
    <col min="3549" max="3549" width="18.85546875" style="19" customWidth="1"/>
    <col min="3550" max="3550" width="3.5703125" style="19" customWidth="1"/>
    <col min="3551" max="3551" width="3.85546875" style="19" customWidth="1"/>
    <col min="3552" max="3580" width="3.5703125" style="19" customWidth="1"/>
    <col min="3581" max="3581" width="7.140625" style="19" customWidth="1"/>
    <col min="3582" max="3804" width="9.140625" style="19"/>
    <col min="3805" max="3805" width="18.85546875" style="19" customWidth="1"/>
    <col min="3806" max="3806" width="3.5703125" style="19" customWidth="1"/>
    <col min="3807" max="3807" width="3.85546875" style="19" customWidth="1"/>
    <col min="3808" max="3836" width="3.5703125" style="19" customWidth="1"/>
    <col min="3837" max="3837" width="7.140625" style="19" customWidth="1"/>
    <col min="3838" max="4060" width="9.140625" style="19"/>
    <col min="4061" max="4061" width="18.85546875" style="19" customWidth="1"/>
    <col min="4062" max="4062" width="3.5703125" style="19" customWidth="1"/>
    <col min="4063" max="4063" width="3.85546875" style="19" customWidth="1"/>
    <col min="4064" max="4092" width="3.5703125" style="19" customWidth="1"/>
    <col min="4093" max="4093" width="7.140625" style="19" customWidth="1"/>
    <col min="4094" max="4316" width="9.140625" style="19"/>
    <col min="4317" max="4317" width="18.85546875" style="19" customWidth="1"/>
    <col min="4318" max="4318" width="3.5703125" style="19" customWidth="1"/>
    <col min="4319" max="4319" width="3.85546875" style="19" customWidth="1"/>
    <col min="4320" max="4348" width="3.5703125" style="19" customWidth="1"/>
    <col min="4349" max="4349" width="7.140625" style="19" customWidth="1"/>
    <col min="4350" max="4572" width="9.140625" style="19"/>
    <col min="4573" max="4573" width="18.85546875" style="19" customWidth="1"/>
    <col min="4574" max="4574" width="3.5703125" style="19" customWidth="1"/>
    <col min="4575" max="4575" width="3.85546875" style="19" customWidth="1"/>
    <col min="4576" max="4604" width="3.5703125" style="19" customWidth="1"/>
    <col min="4605" max="4605" width="7.140625" style="19" customWidth="1"/>
    <col min="4606" max="4828" width="9.140625" style="19"/>
    <col min="4829" max="4829" width="18.85546875" style="19" customWidth="1"/>
    <col min="4830" max="4830" width="3.5703125" style="19" customWidth="1"/>
    <col min="4831" max="4831" width="3.85546875" style="19" customWidth="1"/>
    <col min="4832" max="4860" width="3.5703125" style="19" customWidth="1"/>
    <col min="4861" max="4861" width="7.140625" style="19" customWidth="1"/>
    <col min="4862" max="5084" width="9.140625" style="19"/>
    <col min="5085" max="5085" width="18.85546875" style="19" customWidth="1"/>
    <col min="5086" max="5086" width="3.5703125" style="19" customWidth="1"/>
    <col min="5087" max="5087" width="3.85546875" style="19" customWidth="1"/>
    <col min="5088" max="5116" width="3.5703125" style="19" customWidth="1"/>
    <col min="5117" max="5117" width="7.140625" style="19" customWidth="1"/>
    <col min="5118" max="5340" width="9.140625" style="19"/>
    <col min="5341" max="5341" width="18.85546875" style="19" customWidth="1"/>
    <col min="5342" max="5342" width="3.5703125" style="19" customWidth="1"/>
    <col min="5343" max="5343" width="3.85546875" style="19" customWidth="1"/>
    <col min="5344" max="5372" width="3.5703125" style="19" customWidth="1"/>
    <col min="5373" max="5373" width="7.140625" style="19" customWidth="1"/>
    <col min="5374" max="5596" width="9.140625" style="19"/>
    <col min="5597" max="5597" width="18.85546875" style="19" customWidth="1"/>
    <col min="5598" max="5598" width="3.5703125" style="19" customWidth="1"/>
    <col min="5599" max="5599" width="3.85546875" style="19" customWidth="1"/>
    <col min="5600" max="5628" width="3.5703125" style="19" customWidth="1"/>
    <col min="5629" max="5629" width="7.140625" style="19" customWidth="1"/>
    <col min="5630" max="5852" width="9.140625" style="19"/>
    <col min="5853" max="5853" width="18.85546875" style="19" customWidth="1"/>
    <col min="5854" max="5854" width="3.5703125" style="19" customWidth="1"/>
    <col min="5855" max="5855" width="3.85546875" style="19" customWidth="1"/>
    <col min="5856" max="5884" width="3.5703125" style="19" customWidth="1"/>
    <col min="5885" max="5885" width="7.140625" style="19" customWidth="1"/>
    <col min="5886" max="6108" width="9.140625" style="19"/>
    <col min="6109" max="6109" width="18.85546875" style="19" customWidth="1"/>
    <col min="6110" max="6110" width="3.5703125" style="19" customWidth="1"/>
    <col min="6111" max="6111" width="3.85546875" style="19" customWidth="1"/>
    <col min="6112" max="6140" width="3.5703125" style="19" customWidth="1"/>
    <col min="6141" max="6141" width="7.140625" style="19" customWidth="1"/>
    <col min="6142" max="6364" width="9.140625" style="19"/>
    <col min="6365" max="6365" width="18.85546875" style="19" customWidth="1"/>
    <col min="6366" max="6366" width="3.5703125" style="19" customWidth="1"/>
    <col min="6367" max="6367" width="3.85546875" style="19" customWidth="1"/>
    <col min="6368" max="6396" width="3.5703125" style="19" customWidth="1"/>
    <col min="6397" max="6397" width="7.140625" style="19" customWidth="1"/>
    <col min="6398" max="6620" width="9.140625" style="19"/>
    <col min="6621" max="6621" width="18.85546875" style="19" customWidth="1"/>
    <col min="6622" max="6622" width="3.5703125" style="19" customWidth="1"/>
    <col min="6623" max="6623" width="3.85546875" style="19" customWidth="1"/>
    <col min="6624" max="6652" width="3.5703125" style="19" customWidth="1"/>
    <col min="6653" max="6653" width="7.140625" style="19" customWidth="1"/>
    <col min="6654" max="6876" width="9.140625" style="19"/>
    <col min="6877" max="6877" width="18.85546875" style="19" customWidth="1"/>
    <col min="6878" max="6878" width="3.5703125" style="19" customWidth="1"/>
    <col min="6879" max="6879" width="3.85546875" style="19" customWidth="1"/>
    <col min="6880" max="6908" width="3.5703125" style="19" customWidth="1"/>
    <col min="6909" max="6909" width="7.140625" style="19" customWidth="1"/>
    <col min="6910" max="7132" width="9.140625" style="19"/>
    <col min="7133" max="7133" width="18.85546875" style="19" customWidth="1"/>
    <col min="7134" max="7134" width="3.5703125" style="19" customWidth="1"/>
    <col min="7135" max="7135" width="3.85546875" style="19" customWidth="1"/>
    <col min="7136" max="7164" width="3.5703125" style="19" customWidth="1"/>
    <col min="7165" max="7165" width="7.140625" style="19" customWidth="1"/>
    <col min="7166" max="7388" width="9.140625" style="19"/>
    <col min="7389" max="7389" width="18.85546875" style="19" customWidth="1"/>
    <col min="7390" max="7390" width="3.5703125" style="19" customWidth="1"/>
    <col min="7391" max="7391" width="3.85546875" style="19" customWidth="1"/>
    <col min="7392" max="7420" width="3.5703125" style="19" customWidth="1"/>
    <col min="7421" max="7421" width="7.140625" style="19" customWidth="1"/>
    <col min="7422" max="7644" width="9.140625" style="19"/>
    <col min="7645" max="7645" width="18.85546875" style="19" customWidth="1"/>
    <col min="7646" max="7646" width="3.5703125" style="19" customWidth="1"/>
    <col min="7647" max="7647" width="3.85546875" style="19" customWidth="1"/>
    <col min="7648" max="7676" width="3.5703125" style="19" customWidth="1"/>
    <col min="7677" max="7677" width="7.140625" style="19" customWidth="1"/>
    <col min="7678" max="7900" width="9.140625" style="19"/>
    <col min="7901" max="7901" width="18.85546875" style="19" customWidth="1"/>
    <col min="7902" max="7902" width="3.5703125" style="19" customWidth="1"/>
    <col min="7903" max="7903" width="3.85546875" style="19" customWidth="1"/>
    <col min="7904" max="7932" width="3.5703125" style="19" customWidth="1"/>
    <col min="7933" max="7933" width="7.140625" style="19" customWidth="1"/>
    <col min="7934" max="8156" width="9.140625" style="19"/>
    <col min="8157" max="8157" width="18.85546875" style="19" customWidth="1"/>
    <col min="8158" max="8158" width="3.5703125" style="19" customWidth="1"/>
    <col min="8159" max="8159" width="3.85546875" style="19" customWidth="1"/>
    <col min="8160" max="8188" width="3.5703125" style="19" customWidth="1"/>
    <col min="8189" max="8189" width="7.140625" style="19" customWidth="1"/>
    <col min="8190" max="8412" width="9.140625" style="19"/>
    <col min="8413" max="8413" width="18.85546875" style="19" customWidth="1"/>
    <col min="8414" max="8414" width="3.5703125" style="19" customWidth="1"/>
    <col min="8415" max="8415" width="3.85546875" style="19" customWidth="1"/>
    <col min="8416" max="8444" width="3.5703125" style="19" customWidth="1"/>
    <col min="8445" max="8445" width="7.140625" style="19" customWidth="1"/>
    <col min="8446" max="8668" width="9.140625" style="19"/>
    <col min="8669" max="8669" width="18.85546875" style="19" customWidth="1"/>
    <col min="8670" max="8670" width="3.5703125" style="19" customWidth="1"/>
    <col min="8671" max="8671" width="3.85546875" style="19" customWidth="1"/>
    <col min="8672" max="8700" width="3.5703125" style="19" customWidth="1"/>
    <col min="8701" max="8701" width="7.140625" style="19" customWidth="1"/>
    <col min="8702" max="8924" width="9.140625" style="19"/>
    <col min="8925" max="8925" width="18.85546875" style="19" customWidth="1"/>
    <col min="8926" max="8926" width="3.5703125" style="19" customWidth="1"/>
    <col min="8927" max="8927" width="3.85546875" style="19" customWidth="1"/>
    <col min="8928" max="8956" width="3.5703125" style="19" customWidth="1"/>
    <col min="8957" max="8957" width="7.140625" style="19" customWidth="1"/>
    <col min="8958" max="9180" width="9.140625" style="19"/>
    <col min="9181" max="9181" width="18.85546875" style="19" customWidth="1"/>
    <col min="9182" max="9182" width="3.5703125" style="19" customWidth="1"/>
    <col min="9183" max="9183" width="3.85546875" style="19" customWidth="1"/>
    <col min="9184" max="9212" width="3.5703125" style="19" customWidth="1"/>
    <col min="9213" max="9213" width="7.140625" style="19" customWidth="1"/>
    <col min="9214" max="9436" width="9.140625" style="19"/>
    <col min="9437" max="9437" width="18.85546875" style="19" customWidth="1"/>
    <col min="9438" max="9438" width="3.5703125" style="19" customWidth="1"/>
    <col min="9439" max="9439" width="3.85546875" style="19" customWidth="1"/>
    <col min="9440" max="9468" width="3.5703125" style="19" customWidth="1"/>
    <col min="9469" max="9469" width="7.140625" style="19" customWidth="1"/>
    <col min="9470" max="9692" width="9.140625" style="19"/>
    <col min="9693" max="9693" width="18.85546875" style="19" customWidth="1"/>
    <col min="9694" max="9694" width="3.5703125" style="19" customWidth="1"/>
    <col min="9695" max="9695" width="3.85546875" style="19" customWidth="1"/>
    <col min="9696" max="9724" width="3.5703125" style="19" customWidth="1"/>
    <col min="9725" max="9725" width="7.140625" style="19" customWidth="1"/>
    <col min="9726" max="9948" width="9.140625" style="19"/>
    <col min="9949" max="9949" width="18.85546875" style="19" customWidth="1"/>
    <col min="9950" max="9950" width="3.5703125" style="19" customWidth="1"/>
    <col min="9951" max="9951" width="3.85546875" style="19" customWidth="1"/>
    <col min="9952" max="9980" width="3.5703125" style="19" customWidth="1"/>
    <col min="9981" max="9981" width="7.140625" style="19" customWidth="1"/>
    <col min="9982" max="10204" width="9.140625" style="19"/>
    <col min="10205" max="10205" width="18.85546875" style="19" customWidth="1"/>
    <col min="10206" max="10206" width="3.5703125" style="19" customWidth="1"/>
    <col min="10207" max="10207" width="3.85546875" style="19" customWidth="1"/>
    <col min="10208" max="10236" width="3.5703125" style="19" customWidth="1"/>
    <col min="10237" max="10237" width="7.140625" style="19" customWidth="1"/>
    <col min="10238" max="10460" width="9.140625" style="19"/>
    <col min="10461" max="10461" width="18.85546875" style="19" customWidth="1"/>
    <col min="10462" max="10462" width="3.5703125" style="19" customWidth="1"/>
    <col min="10463" max="10463" width="3.85546875" style="19" customWidth="1"/>
    <col min="10464" max="10492" width="3.5703125" style="19" customWidth="1"/>
    <col min="10493" max="10493" width="7.140625" style="19" customWidth="1"/>
    <col min="10494" max="10716" width="9.140625" style="19"/>
    <col min="10717" max="10717" width="18.85546875" style="19" customWidth="1"/>
    <col min="10718" max="10718" width="3.5703125" style="19" customWidth="1"/>
    <col min="10719" max="10719" width="3.85546875" style="19" customWidth="1"/>
    <col min="10720" max="10748" width="3.5703125" style="19" customWidth="1"/>
    <col min="10749" max="10749" width="7.140625" style="19" customWidth="1"/>
    <col min="10750" max="10972" width="9.140625" style="19"/>
    <col min="10973" max="10973" width="18.85546875" style="19" customWidth="1"/>
    <col min="10974" max="10974" width="3.5703125" style="19" customWidth="1"/>
    <col min="10975" max="10975" width="3.85546875" style="19" customWidth="1"/>
    <col min="10976" max="11004" width="3.5703125" style="19" customWidth="1"/>
    <col min="11005" max="11005" width="7.140625" style="19" customWidth="1"/>
    <col min="11006" max="11228" width="9.140625" style="19"/>
    <col min="11229" max="11229" width="18.85546875" style="19" customWidth="1"/>
    <col min="11230" max="11230" width="3.5703125" style="19" customWidth="1"/>
    <col min="11231" max="11231" width="3.85546875" style="19" customWidth="1"/>
    <col min="11232" max="11260" width="3.5703125" style="19" customWidth="1"/>
    <col min="11261" max="11261" width="7.140625" style="19" customWidth="1"/>
    <col min="11262" max="11484" width="9.140625" style="19"/>
    <col min="11485" max="11485" width="18.85546875" style="19" customWidth="1"/>
    <col min="11486" max="11486" width="3.5703125" style="19" customWidth="1"/>
    <col min="11487" max="11487" width="3.85546875" style="19" customWidth="1"/>
    <col min="11488" max="11516" width="3.5703125" style="19" customWidth="1"/>
    <col min="11517" max="11517" width="7.140625" style="19" customWidth="1"/>
    <col min="11518" max="11740" width="9.140625" style="19"/>
    <col min="11741" max="11741" width="18.85546875" style="19" customWidth="1"/>
    <col min="11742" max="11742" width="3.5703125" style="19" customWidth="1"/>
    <col min="11743" max="11743" width="3.85546875" style="19" customWidth="1"/>
    <col min="11744" max="11772" width="3.5703125" style="19" customWidth="1"/>
    <col min="11773" max="11773" width="7.140625" style="19" customWidth="1"/>
    <col min="11774" max="11996" width="9.140625" style="19"/>
    <col min="11997" max="11997" width="18.85546875" style="19" customWidth="1"/>
    <col min="11998" max="11998" width="3.5703125" style="19" customWidth="1"/>
    <col min="11999" max="11999" width="3.85546875" style="19" customWidth="1"/>
    <col min="12000" max="12028" width="3.5703125" style="19" customWidth="1"/>
    <col min="12029" max="12029" width="7.140625" style="19" customWidth="1"/>
    <col min="12030" max="12252" width="9.140625" style="19"/>
    <col min="12253" max="12253" width="18.85546875" style="19" customWidth="1"/>
    <col min="12254" max="12254" width="3.5703125" style="19" customWidth="1"/>
    <col min="12255" max="12255" width="3.85546875" style="19" customWidth="1"/>
    <col min="12256" max="12284" width="3.5703125" style="19" customWidth="1"/>
    <col min="12285" max="12285" width="7.140625" style="19" customWidth="1"/>
    <col min="12286" max="12508" width="9.140625" style="19"/>
    <col min="12509" max="12509" width="18.85546875" style="19" customWidth="1"/>
    <col min="12510" max="12510" width="3.5703125" style="19" customWidth="1"/>
    <col min="12511" max="12511" width="3.85546875" style="19" customWidth="1"/>
    <col min="12512" max="12540" width="3.5703125" style="19" customWidth="1"/>
    <col min="12541" max="12541" width="7.140625" style="19" customWidth="1"/>
    <col min="12542" max="12764" width="9.140625" style="19"/>
    <col min="12765" max="12765" width="18.85546875" style="19" customWidth="1"/>
    <col min="12766" max="12766" width="3.5703125" style="19" customWidth="1"/>
    <col min="12767" max="12767" width="3.85546875" style="19" customWidth="1"/>
    <col min="12768" max="12796" width="3.5703125" style="19" customWidth="1"/>
    <col min="12797" max="12797" width="7.140625" style="19" customWidth="1"/>
    <col min="12798" max="13020" width="9.140625" style="19"/>
    <col min="13021" max="13021" width="18.85546875" style="19" customWidth="1"/>
    <col min="13022" max="13022" width="3.5703125" style="19" customWidth="1"/>
    <col min="13023" max="13023" width="3.85546875" style="19" customWidth="1"/>
    <col min="13024" max="13052" width="3.5703125" style="19" customWidth="1"/>
    <col min="13053" max="13053" width="7.140625" style="19" customWidth="1"/>
    <col min="13054" max="13276" width="9.140625" style="19"/>
    <col min="13277" max="13277" width="18.85546875" style="19" customWidth="1"/>
    <col min="13278" max="13278" width="3.5703125" style="19" customWidth="1"/>
    <col min="13279" max="13279" width="3.85546875" style="19" customWidth="1"/>
    <col min="13280" max="13308" width="3.5703125" style="19" customWidth="1"/>
    <col min="13309" max="13309" width="7.140625" style="19" customWidth="1"/>
    <col min="13310" max="13532" width="9.140625" style="19"/>
    <col min="13533" max="13533" width="18.85546875" style="19" customWidth="1"/>
    <col min="13534" max="13534" width="3.5703125" style="19" customWidth="1"/>
    <col min="13535" max="13535" width="3.85546875" style="19" customWidth="1"/>
    <col min="13536" max="13564" width="3.5703125" style="19" customWidth="1"/>
    <col min="13565" max="13565" width="7.140625" style="19" customWidth="1"/>
    <col min="13566" max="13788" width="9.140625" style="19"/>
    <col min="13789" max="13789" width="18.85546875" style="19" customWidth="1"/>
    <col min="13790" max="13790" width="3.5703125" style="19" customWidth="1"/>
    <col min="13791" max="13791" width="3.85546875" style="19" customWidth="1"/>
    <col min="13792" max="13820" width="3.5703125" style="19" customWidth="1"/>
    <col min="13821" max="13821" width="7.140625" style="19" customWidth="1"/>
    <col min="13822" max="14044" width="9.140625" style="19"/>
    <col min="14045" max="14045" width="18.85546875" style="19" customWidth="1"/>
    <col min="14046" max="14046" width="3.5703125" style="19" customWidth="1"/>
    <col min="14047" max="14047" width="3.85546875" style="19" customWidth="1"/>
    <col min="14048" max="14076" width="3.5703125" style="19" customWidth="1"/>
    <col min="14077" max="14077" width="7.140625" style="19" customWidth="1"/>
    <col min="14078" max="14300" width="9.140625" style="19"/>
    <col min="14301" max="14301" width="18.85546875" style="19" customWidth="1"/>
    <col min="14302" max="14302" width="3.5703125" style="19" customWidth="1"/>
    <col min="14303" max="14303" width="3.85546875" style="19" customWidth="1"/>
    <col min="14304" max="14332" width="3.5703125" style="19" customWidth="1"/>
    <col min="14333" max="14333" width="7.140625" style="19" customWidth="1"/>
    <col min="14334" max="14556" width="9.140625" style="19"/>
    <col min="14557" max="14557" width="18.85546875" style="19" customWidth="1"/>
    <col min="14558" max="14558" width="3.5703125" style="19" customWidth="1"/>
    <col min="14559" max="14559" width="3.85546875" style="19" customWidth="1"/>
    <col min="14560" max="14588" width="3.5703125" style="19" customWidth="1"/>
    <col min="14589" max="14589" width="7.140625" style="19" customWidth="1"/>
    <col min="14590" max="14812" width="9.140625" style="19"/>
    <col min="14813" max="14813" width="18.85546875" style="19" customWidth="1"/>
    <col min="14814" max="14814" width="3.5703125" style="19" customWidth="1"/>
    <col min="14815" max="14815" width="3.85546875" style="19" customWidth="1"/>
    <col min="14816" max="14844" width="3.5703125" style="19" customWidth="1"/>
    <col min="14845" max="14845" width="7.140625" style="19" customWidth="1"/>
    <col min="14846" max="15068" width="9.140625" style="19"/>
    <col min="15069" max="15069" width="18.85546875" style="19" customWidth="1"/>
    <col min="15070" max="15070" width="3.5703125" style="19" customWidth="1"/>
    <col min="15071" max="15071" width="3.85546875" style="19" customWidth="1"/>
    <col min="15072" max="15100" width="3.5703125" style="19" customWidth="1"/>
    <col min="15101" max="15101" width="7.140625" style="19" customWidth="1"/>
    <col min="15102" max="15324" width="9.140625" style="19"/>
    <col min="15325" max="15325" width="18.85546875" style="19" customWidth="1"/>
    <col min="15326" max="15326" width="3.5703125" style="19" customWidth="1"/>
    <col min="15327" max="15327" width="3.85546875" style="19" customWidth="1"/>
    <col min="15328" max="15356" width="3.5703125" style="19" customWidth="1"/>
    <col min="15357" max="15357" width="7.140625" style="19" customWidth="1"/>
    <col min="15358" max="15580" width="9.140625" style="19"/>
    <col min="15581" max="15581" width="18.85546875" style="19" customWidth="1"/>
    <col min="15582" max="15582" width="3.5703125" style="19" customWidth="1"/>
    <col min="15583" max="15583" width="3.85546875" style="19" customWidth="1"/>
    <col min="15584" max="15612" width="3.5703125" style="19" customWidth="1"/>
    <col min="15613" max="15613" width="7.140625" style="19" customWidth="1"/>
    <col min="15614" max="15836" width="9.140625" style="19"/>
    <col min="15837" max="15837" width="18.85546875" style="19" customWidth="1"/>
    <col min="15838" max="15838" width="3.5703125" style="19" customWidth="1"/>
    <col min="15839" max="15839" width="3.85546875" style="19" customWidth="1"/>
    <col min="15840" max="15868" width="3.5703125" style="19" customWidth="1"/>
    <col min="15869" max="15869" width="7.140625" style="19" customWidth="1"/>
    <col min="15870" max="16092" width="9.140625" style="19"/>
    <col min="16093" max="16093" width="18.85546875" style="19" customWidth="1"/>
    <col min="16094" max="16094" width="3.5703125" style="19" customWidth="1"/>
    <col min="16095" max="16095" width="3.85546875" style="19" customWidth="1"/>
    <col min="16096" max="16124" width="3.5703125" style="19" customWidth="1"/>
    <col min="16125" max="16125" width="7.140625" style="19" customWidth="1"/>
    <col min="16126" max="16384" width="9.140625" style="19"/>
  </cols>
  <sheetData>
    <row r="1" spans="1:38" ht="28.5" customHeight="1" x14ac:dyDescent="0.2">
      <c r="A1" s="65" t="s">
        <v>52</v>
      </c>
      <c r="B1" s="169" t="s">
        <v>53</v>
      </c>
      <c r="C1" s="170"/>
      <c r="D1" s="170"/>
      <c r="E1" s="170"/>
      <c r="F1" s="170"/>
      <c r="G1" s="170"/>
      <c r="H1" s="171"/>
      <c r="I1" s="168" t="s">
        <v>0</v>
      </c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58" t="s">
        <v>1</v>
      </c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23" t="s">
        <v>51</v>
      </c>
      <c r="AI1" s="123"/>
      <c r="AJ1" s="123"/>
      <c r="AK1" s="123"/>
      <c r="AL1" s="123"/>
    </row>
    <row r="2" spans="1:38" ht="15.75" customHeight="1" x14ac:dyDescent="0.2">
      <c r="A2" s="29" t="s">
        <v>2</v>
      </c>
      <c r="B2" s="23"/>
      <c r="C2" s="22" t="s">
        <v>3</v>
      </c>
      <c r="D2" s="23"/>
      <c r="E2" s="23" t="s">
        <v>4</v>
      </c>
      <c r="F2" s="23"/>
      <c r="G2" s="23"/>
      <c r="H2" s="173" t="s">
        <v>5</v>
      </c>
      <c r="I2" s="173"/>
      <c r="J2" s="173"/>
      <c r="K2" s="173"/>
      <c r="L2" s="173"/>
      <c r="M2" s="173"/>
      <c r="N2" s="173"/>
      <c r="O2" s="174"/>
      <c r="P2" s="147"/>
      <c r="Q2" s="148"/>
      <c r="R2" s="149"/>
      <c r="S2" s="127" t="s">
        <v>6</v>
      </c>
      <c r="T2" s="128"/>
      <c r="U2" s="146" t="s">
        <v>7</v>
      </c>
      <c r="V2" s="146"/>
      <c r="W2" s="126" t="s">
        <v>39</v>
      </c>
      <c r="X2" s="127"/>
      <c r="Y2" s="127"/>
      <c r="Z2" s="127"/>
      <c r="AA2" s="127"/>
      <c r="AB2" s="127"/>
      <c r="AC2" s="127"/>
      <c r="AD2" s="127"/>
      <c r="AE2" s="127"/>
      <c r="AF2" s="127"/>
      <c r="AG2" s="128"/>
      <c r="AH2" s="123"/>
      <c r="AI2" s="123"/>
      <c r="AJ2" s="123"/>
      <c r="AK2" s="123"/>
      <c r="AL2" s="123"/>
    </row>
    <row r="3" spans="1:38" ht="18" customHeight="1" x14ac:dyDescent="0.2">
      <c r="A3" s="1"/>
      <c r="B3" s="129" t="s">
        <v>38</v>
      </c>
      <c r="C3" s="130"/>
      <c r="D3" s="130"/>
      <c r="E3" s="130"/>
      <c r="F3" s="130"/>
      <c r="G3" s="167"/>
      <c r="H3" s="141"/>
      <c r="I3" s="142"/>
      <c r="J3" s="142"/>
      <c r="K3" s="142"/>
      <c r="L3" s="142"/>
      <c r="M3" s="142"/>
      <c r="N3" s="143"/>
      <c r="O3" s="141"/>
      <c r="P3" s="142"/>
      <c r="Q3" s="142"/>
      <c r="R3" s="142"/>
      <c r="S3" s="142"/>
      <c r="T3" s="142"/>
      <c r="U3" s="143"/>
      <c r="V3" s="129" t="s">
        <v>8</v>
      </c>
      <c r="W3" s="130"/>
      <c r="X3" s="164"/>
      <c r="Y3" s="165"/>
      <c r="Z3" s="165"/>
      <c r="AA3" s="165"/>
      <c r="AB3" s="165"/>
      <c r="AC3" s="165"/>
      <c r="AD3" s="165"/>
      <c r="AE3" s="165"/>
      <c r="AF3" s="165"/>
      <c r="AG3" s="166"/>
      <c r="AH3" s="123"/>
      <c r="AI3" s="123"/>
      <c r="AJ3" s="123"/>
      <c r="AK3" s="123"/>
      <c r="AL3" s="123"/>
    </row>
    <row r="4" spans="1:38" ht="17.25" customHeight="1" x14ac:dyDescent="0.2">
      <c r="A4" s="106" t="s">
        <v>9</v>
      </c>
      <c r="B4" s="135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  <c r="AA4" s="136"/>
      <c r="AB4" s="136"/>
      <c r="AC4" s="136"/>
      <c r="AD4" s="136"/>
      <c r="AE4" s="136"/>
      <c r="AF4" s="136"/>
      <c r="AG4" s="137"/>
      <c r="AH4" s="111" t="s">
        <v>25</v>
      </c>
      <c r="AI4" s="111"/>
      <c r="AJ4" s="111"/>
      <c r="AK4" s="111"/>
      <c r="AL4" s="111"/>
    </row>
    <row r="5" spans="1:38" ht="17.25" customHeight="1" x14ac:dyDescent="0.2">
      <c r="A5" s="107"/>
      <c r="B5" s="138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40"/>
      <c r="Z5" s="144" t="s">
        <v>10</v>
      </c>
      <c r="AA5" s="145"/>
      <c r="AB5" s="141"/>
      <c r="AC5" s="142"/>
      <c r="AD5" s="142"/>
      <c r="AE5" s="142"/>
      <c r="AF5" s="142"/>
      <c r="AG5" s="143"/>
      <c r="AH5" s="111"/>
      <c r="AI5" s="111"/>
      <c r="AJ5" s="111"/>
      <c r="AK5" s="111"/>
      <c r="AL5" s="111"/>
    </row>
    <row r="6" spans="1:38" ht="17.25" customHeight="1" x14ac:dyDescent="0.2">
      <c r="A6" s="2" t="s">
        <v>11</v>
      </c>
      <c r="B6" s="94"/>
      <c r="C6" s="95"/>
      <c r="D6" s="96"/>
      <c r="E6" s="144" t="s">
        <v>12</v>
      </c>
      <c r="F6" s="172"/>
      <c r="G6" s="145"/>
      <c r="H6" s="94"/>
      <c r="I6" s="95"/>
      <c r="J6" s="95"/>
      <c r="K6" s="95"/>
      <c r="L6" s="95"/>
      <c r="M6" s="96"/>
      <c r="N6" s="144" t="s">
        <v>13</v>
      </c>
      <c r="O6" s="172"/>
      <c r="P6" s="145"/>
      <c r="Q6" s="97"/>
      <c r="R6" s="95"/>
      <c r="S6" s="95"/>
      <c r="T6" s="95"/>
      <c r="U6" s="95"/>
      <c r="V6" s="96"/>
      <c r="W6" s="129" t="s">
        <v>14</v>
      </c>
      <c r="X6" s="130"/>
      <c r="Y6" s="130"/>
      <c r="Z6" s="130"/>
      <c r="AA6" s="167"/>
      <c r="AB6" s="97"/>
      <c r="AC6" s="95"/>
      <c r="AD6" s="95"/>
      <c r="AE6" s="95"/>
      <c r="AF6" s="95"/>
      <c r="AG6" s="96"/>
      <c r="AH6" s="111"/>
      <c r="AI6" s="111"/>
      <c r="AJ6" s="111"/>
      <c r="AK6" s="111"/>
      <c r="AL6" s="111"/>
    </row>
    <row r="7" spans="1:38" s="20" customFormat="1" ht="13.5" customHeight="1" thickBot="1" x14ac:dyDescent="0.25">
      <c r="A7" s="3" t="s">
        <v>15</v>
      </c>
      <c r="B7" s="4">
        <v>1</v>
      </c>
      <c r="C7" s="4">
        <v>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4">
        <v>26</v>
      </c>
      <c r="AB7" s="4">
        <v>27</v>
      </c>
      <c r="AC7" s="4">
        <v>28</v>
      </c>
      <c r="AD7" s="4">
        <v>29</v>
      </c>
      <c r="AE7" s="4">
        <v>30</v>
      </c>
      <c r="AF7" s="4">
        <v>31</v>
      </c>
      <c r="AG7" s="5"/>
      <c r="AH7" s="111"/>
      <c r="AI7" s="111"/>
      <c r="AJ7" s="111"/>
      <c r="AK7" s="111"/>
      <c r="AL7" s="111"/>
    </row>
    <row r="8" spans="1:38" ht="3.75" customHeight="1" thickBot="1" x14ac:dyDescent="0.25">
      <c r="A8" s="6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7"/>
      <c r="AG8" s="7"/>
      <c r="AH8" s="111"/>
      <c r="AI8" s="111"/>
      <c r="AJ8" s="111"/>
      <c r="AK8" s="111"/>
      <c r="AL8" s="111"/>
    </row>
    <row r="9" spans="1:38" ht="24" customHeight="1" x14ac:dyDescent="0.2">
      <c r="A9" s="32" t="s">
        <v>44</v>
      </c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8"/>
      <c r="AH9" s="108"/>
      <c r="AI9" s="109"/>
      <c r="AJ9" s="109"/>
      <c r="AK9" s="109"/>
      <c r="AL9" s="109"/>
    </row>
    <row r="10" spans="1:38" ht="24" customHeight="1" x14ac:dyDescent="0.2">
      <c r="A10" s="61" t="s">
        <v>46</v>
      </c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10"/>
      <c r="AH10" s="108"/>
      <c r="AI10" s="109"/>
      <c r="AJ10" s="109"/>
      <c r="AK10" s="109"/>
      <c r="AL10" s="109"/>
    </row>
    <row r="11" spans="1:38" ht="24" customHeight="1" x14ac:dyDescent="0.2">
      <c r="A11" s="55" t="s">
        <v>45</v>
      </c>
      <c r="B11" s="58"/>
      <c r="C11" s="58"/>
      <c r="D11" s="58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60"/>
      <c r="AG11" s="53"/>
      <c r="AH11" s="108"/>
      <c r="AI11" s="109"/>
      <c r="AJ11" s="109"/>
      <c r="AK11" s="109"/>
      <c r="AL11" s="109"/>
    </row>
    <row r="12" spans="1:38" ht="24" customHeight="1" thickBot="1" x14ac:dyDescent="0.25">
      <c r="A12" s="33" t="s">
        <v>47</v>
      </c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10"/>
      <c r="AH12" s="110"/>
      <c r="AI12" s="109"/>
      <c r="AJ12" s="109"/>
      <c r="AK12" s="109"/>
      <c r="AL12" s="109"/>
    </row>
    <row r="13" spans="1:38" ht="3.75" customHeight="1" thickBot="1" x14ac:dyDescent="0.25">
      <c r="A13" s="62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2"/>
      <c r="AG13" s="57"/>
      <c r="AH13" s="108"/>
      <c r="AI13" s="109"/>
      <c r="AJ13" s="109"/>
      <c r="AK13" s="109"/>
      <c r="AL13" s="109"/>
    </row>
    <row r="14" spans="1:38" ht="24" customHeight="1" x14ac:dyDescent="0.2">
      <c r="A14" s="34" t="s">
        <v>27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10"/>
      <c r="AH14" s="108"/>
      <c r="AI14" s="109"/>
      <c r="AJ14" s="109"/>
      <c r="AK14" s="109"/>
      <c r="AL14" s="109"/>
    </row>
    <row r="15" spans="1:38" ht="23.25" customHeight="1" x14ac:dyDescent="0.2">
      <c r="A15" s="35" t="s">
        <v>48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0"/>
      <c r="AH15" s="108"/>
      <c r="AI15" s="109"/>
      <c r="AJ15" s="109"/>
      <c r="AK15" s="109"/>
      <c r="AL15" s="109"/>
    </row>
    <row r="16" spans="1:38" ht="24" customHeight="1" x14ac:dyDescent="0.2">
      <c r="A16" s="33" t="s">
        <v>28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10"/>
      <c r="AH16" s="108"/>
      <c r="AI16" s="109"/>
      <c r="AJ16" s="109"/>
      <c r="AK16" s="109"/>
      <c r="AL16" s="109"/>
    </row>
    <row r="17" spans="1:38" ht="24" customHeight="1" x14ac:dyDescent="0.2">
      <c r="A17" s="33" t="s">
        <v>42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0"/>
      <c r="AH17" s="108"/>
      <c r="AI17" s="109"/>
      <c r="AJ17" s="109"/>
      <c r="AK17" s="109"/>
      <c r="AL17" s="109"/>
    </row>
    <row r="18" spans="1:38" ht="24" customHeight="1" x14ac:dyDescent="0.2">
      <c r="A18" s="36" t="s">
        <v>29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10"/>
      <c r="AH18" s="108"/>
      <c r="AI18" s="109"/>
      <c r="AJ18" s="109"/>
      <c r="AK18" s="109"/>
      <c r="AL18" s="109"/>
    </row>
    <row r="19" spans="1:38" ht="24" customHeight="1" x14ac:dyDescent="0.2">
      <c r="A19" s="33" t="s">
        <v>30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0"/>
      <c r="AH19" s="108"/>
      <c r="AI19" s="109"/>
      <c r="AJ19" s="109"/>
      <c r="AK19" s="109"/>
      <c r="AL19" s="109"/>
    </row>
    <row r="20" spans="1:38" ht="24" customHeight="1" x14ac:dyDescent="0.2">
      <c r="A20" s="32" t="s">
        <v>31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10"/>
      <c r="AH20" s="108"/>
      <c r="AI20" s="109"/>
      <c r="AJ20" s="109"/>
      <c r="AK20" s="109"/>
      <c r="AL20" s="109"/>
    </row>
    <row r="21" spans="1:38" ht="24" customHeight="1" x14ac:dyDescent="0.2">
      <c r="A21" s="33" t="s">
        <v>32</v>
      </c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0"/>
      <c r="AH21" s="108"/>
      <c r="AI21" s="109"/>
      <c r="AJ21" s="109"/>
      <c r="AK21" s="109"/>
      <c r="AL21" s="109"/>
    </row>
    <row r="22" spans="1:38" ht="24" customHeight="1" x14ac:dyDescent="0.2">
      <c r="A22" s="36" t="s">
        <v>33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10"/>
      <c r="AH22" s="108"/>
      <c r="AI22" s="109"/>
      <c r="AJ22" s="109"/>
      <c r="AK22" s="109"/>
      <c r="AL22" s="109"/>
    </row>
    <row r="23" spans="1:38" ht="24" customHeight="1" x14ac:dyDescent="0.2">
      <c r="A23" s="33" t="s">
        <v>34</v>
      </c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0"/>
      <c r="AH23" s="108"/>
      <c r="AI23" s="109"/>
      <c r="AJ23" s="109"/>
      <c r="AK23" s="109"/>
      <c r="AL23" s="109"/>
    </row>
    <row r="24" spans="1:38" ht="24" customHeight="1" x14ac:dyDescent="0.2">
      <c r="A24" s="33" t="s">
        <v>35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0"/>
      <c r="AH24" s="108"/>
      <c r="AI24" s="109"/>
      <c r="AJ24" s="109"/>
      <c r="AK24" s="109"/>
      <c r="AL24" s="109"/>
    </row>
    <row r="25" spans="1:38" ht="24" customHeight="1" x14ac:dyDescent="0.2">
      <c r="A25" s="33" t="s">
        <v>36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0"/>
      <c r="AH25" s="108"/>
      <c r="AI25" s="109"/>
      <c r="AJ25" s="109"/>
      <c r="AK25" s="109"/>
      <c r="AL25" s="109"/>
    </row>
    <row r="26" spans="1:38" ht="24" customHeight="1" x14ac:dyDescent="0.2">
      <c r="A26" s="37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10"/>
      <c r="AH26" s="108"/>
      <c r="AI26" s="109"/>
      <c r="AJ26" s="109"/>
      <c r="AK26" s="109"/>
      <c r="AL26" s="109"/>
    </row>
    <row r="27" spans="1:38" ht="24" customHeight="1" x14ac:dyDescent="0.2">
      <c r="A27" s="42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H27" s="108"/>
      <c r="AI27" s="109"/>
      <c r="AJ27" s="109"/>
      <c r="AK27" s="109"/>
      <c r="AL27" s="109"/>
    </row>
    <row r="28" spans="1:38" ht="24" customHeight="1" thickBot="1" x14ac:dyDescent="0.25">
      <c r="A28" s="51" t="s">
        <v>43</v>
      </c>
      <c r="B28" s="28">
        <f>SUM(Column2StartB,Column3EndB, Column3StartB:ColumnEndB)</f>
        <v>0</v>
      </c>
      <c r="C28" s="28">
        <f>SUM(Column2StartC,Column3EndC, Column3StartC:ColumnEndC)</f>
        <v>0</v>
      </c>
      <c r="D28" s="28">
        <f>SUM(Column2StartD,Column3EndD, Column3StartD:ColumnEndD)</f>
        <v>0</v>
      </c>
      <c r="E28" s="28">
        <f>SUM(Column2StartE,Column3EndE, Column3StartE:ColumnEndE)</f>
        <v>0</v>
      </c>
      <c r="F28" s="28">
        <f>SUM(Column2StartF,Column3EndF, Column3StartF:ColumnEndF)</f>
        <v>0</v>
      </c>
      <c r="G28" s="28">
        <f>SUM(Column2StartG,Column3EndG, Column3StartG:ColumnEndG)</f>
        <v>0</v>
      </c>
      <c r="H28" s="28">
        <f>SUM(Column2StartH,Column3EndH, Column3StartH:ColumnEndH)</f>
        <v>0</v>
      </c>
      <c r="I28" s="28">
        <f>SUM(Column2StartI,Column3EndI, Column3StartI:ColumnEndI)</f>
        <v>0</v>
      </c>
      <c r="J28" s="28">
        <f>SUM(Column2StartJ,Column3EndJ, Column3StartJ:ColumnEndJ)</f>
        <v>0</v>
      </c>
      <c r="K28" s="28">
        <f>SUM(Column2StartK,Column3EndK, Column3StartK:ColumnEndK)</f>
        <v>0</v>
      </c>
      <c r="L28" s="28">
        <f>SUM(Column2StartL,Column3EndL, Column3StartL:ColumnEndL)</f>
        <v>0</v>
      </c>
      <c r="M28" s="28">
        <f>SUM(Column2StartM,Column3EndM, Column3StartM:ColumnEndM)</f>
        <v>0</v>
      </c>
      <c r="N28" s="28">
        <f>SUM(Column2StartN,Column3EndN, Column3StartN:ColumnEndN)</f>
        <v>0</v>
      </c>
      <c r="O28" s="28">
        <f>SUM(Column2StartO,Column3EndO, Column3StartO:ColumnEndO)</f>
        <v>0</v>
      </c>
      <c r="P28" s="28">
        <f>SUM(Column2StartP,Column3EndP, Column3StartP:ColumnEndP)</f>
        <v>0</v>
      </c>
      <c r="Q28" s="28">
        <f>SUM(Column2StartQ,Column3EndQ, Column3StartQ:ColumnEndQ)</f>
        <v>0</v>
      </c>
      <c r="R28" s="28">
        <f>SUM(Column2StartR,Column3EndR, Column3StartR:ColumnEndR)</f>
        <v>0</v>
      </c>
      <c r="S28" s="28">
        <f>SUM(Column2StartS,Column3EndS, Column3StartS:ColumnEndS)</f>
        <v>0</v>
      </c>
      <c r="T28" s="28">
        <f>SUM(Column2StartT,Column3EndT, Column3StartT:ColumnEndT)</f>
        <v>0</v>
      </c>
      <c r="U28" s="28">
        <f>SUM(Column2StartU,Column3EndU, Column3StartU:ColumnEndU)</f>
        <v>0</v>
      </c>
      <c r="V28" s="28">
        <f>SUM(Column2StartV,Column3EndV, Column3StartV:ColumnEndV)</f>
        <v>0</v>
      </c>
      <c r="W28" s="28">
        <f>SUM(Column2StartW,Column3EndW, Column3StartW:ColumnEndW)</f>
        <v>0</v>
      </c>
      <c r="X28" s="28">
        <f>SUM(Column2StartX,Column3EndX, Column3StartX:ColumnEndX)</f>
        <v>0</v>
      </c>
      <c r="Y28" s="28">
        <f>SUM(Column2StartY,Column3EndY, Column3StartY:ColumnEndY)</f>
        <v>0</v>
      </c>
      <c r="Z28" s="28">
        <f>SUM(Column2StartZ,Column3EndZ, Column3StartZ:ColumnEndZ)</f>
        <v>0</v>
      </c>
      <c r="AA28" s="28">
        <f>SUM(Column2StartAA,Column3EndAA, Column3StartAA:ColumnEndAA)</f>
        <v>0</v>
      </c>
      <c r="AB28" s="28">
        <f>SUM(Column2StartAB,Column3EndAB, Column3StartAB:ColumnEndAB)</f>
        <v>0</v>
      </c>
      <c r="AC28" s="28">
        <f>SUM(Column2StartAC,Column3EndAC, Column3StartAC:ColumnEndAC)</f>
        <v>0</v>
      </c>
      <c r="AD28" s="28">
        <f>SUM(Column2StartAD,Column3EndAD, Column3StartAD:ColumnEndAD)</f>
        <v>0</v>
      </c>
      <c r="AE28" s="28">
        <f>SUM(Column2StartAE,Column3EndAE, Column3StartAE:ColumnEndAE)</f>
        <v>0</v>
      </c>
      <c r="AF28" s="28">
        <f>SUM(Column2StartAF,Column3EndAF, Column3StartAF:ColumnEndAF)</f>
        <v>0</v>
      </c>
      <c r="AG28" s="13" t="s">
        <v>16</v>
      </c>
      <c r="AH28" s="108"/>
      <c r="AI28" s="109"/>
      <c r="AJ28" s="109"/>
      <c r="AK28" s="109"/>
      <c r="AL28" s="109"/>
    </row>
    <row r="29" spans="1:38" ht="24" customHeight="1" thickBot="1" x14ac:dyDescent="0.25">
      <c r="A29" s="43" t="s">
        <v>40</v>
      </c>
      <c r="B29" s="25">
        <f>SUM(B28, B17, B15)</f>
        <v>0</v>
      </c>
      <c r="C29" s="25">
        <f t="shared" ref="C29:AF29" si="0">SUM(C28, C17, C15)</f>
        <v>0</v>
      </c>
      <c r="D29" s="25">
        <f t="shared" si="0"/>
        <v>0</v>
      </c>
      <c r="E29" s="25">
        <f t="shared" si="0"/>
        <v>0</v>
      </c>
      <c r="F29" s="25">
        <f t="shared" si="0"/>
        <v>0</v>
      </c>
      <c r="G29" s="25">
        <f t="shared" si="0"/>
        <v>0</v>
      </c>
      <c r="H29" s="25">
        <f t="shared" si="0"/>
        <v>0</v>
      </c>
      <c r="I29" s="25">
        <f t="shared" si="0"/>
        <v>0</v>
      </c>
      <c r="J29" s="25">
        <f t="shared" si="0"/>
        <v>0</v>
      </c>
      <c r="K29" s="25">
        <f t="shared" si="0"/>
        <v>0</v>
      </c>
      <c r="L29" s="25">
        <f t="shared" si="0"/>
        <v>0</v>
      </c>
      <c r="M29" s="25">
        <f t="shared" si="0"/>
        <v>0</v>
      </c>
      <c r="N29" s="25">
        <f t="shared" si="0"/>
        <v>0</v>
      </c>
      <c r="O29" s="25">
        <f t="shared" si="0"/>
        <v>0</v>
      </c>
      <c r="P29" s="25">
        <f t="shared" si="0"/>
        <v>0</v>
      </c>
      <c r="Q29" s="25">
        <f t="shared" si="0"/>
        <v>0</v>
      </c>
      <c r="R29" s="25">
        <f t="shared" si="0"/>
        <v>0</v>
      </c>
      <c r="S29" s="25">
        <f t="shared" si="0"/>
        <v>0</v>
      </c>
      <c r="T29" s="25">
        <f t="shared" si="0"/>
        <v>0</v>
      </c>
      <c r="U29" s="25">
        <f t="shared" si="0"/>
        <v>0</v>
      </c>
      <c r="V29" s="25">
        <f t="shared" si="0"/>
        <v>0</v>
      </c>
      <c r="W29" s="25">
        <f t="shared" si="0"/>
        <v>0</v>
      </c>
      <c r="X29" s="25">
        <f t="shared" si="0"/>
        <v>0</v>
      </c>
      <c r="Y29" s="25">
        <f t="shared" si="0"/>
        <v>0</v>
      </c>
      <c r="Z29" s="25">
        <f t="shared" si="0"/>
        <v>0</v>
      </c>
      <c r="AA29" s="25">
        <f t="shared" si="0"/>
        <v>0</v>
      </c>
      <c r="AB29" s="25">
        <f t="shared" si="0"/>
        <v>0</v>
      </c>
      <c r="AC29" s="25">
        <f t="shared" si="0"/>
        <v>0</v>
      </c>
      <c r="AD29" s="25">
        <f t="shared" si="0"/>
        <v>0</v>
      </c>
      <c r="AE29" s="25">
        <f t="shared" si="0"/>
        <v>0</v>
      </c>
      <c r="AF29" s="25">
        <f t="shared" si="0"/>
        <v>0</v>
      </c>
      <c r="AG29" s="41">
        <f>SUM(B29:AF29)</f>
        <v>0</v>
      </c>
      <c r="AH29" s="108"/>
      <c r="AI29" s="109"/>
      <c r="AJ29" s="109"/>
      <c r="AK29" s="109"/>
      <c r="AL29" s="109"/>
    </row>
    <row r="30" spans="1:38" ht="24" customHeight="1" x14ac:dyDescent="0.2">
      <c r="A30" s="103" t="s">
        <v>17</v>
      </c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48"/>
      <c r="AG30" s="45"/>
      <c r="AH30" s="108"/>
      <c r="AI30" s="109"/>
      <c r="AJ30" s="109"/>
      <c r="AK30" s="109"/>
      <c r="AL30" s="109"/>
    </row>
    <row r="31" spans="1:38" ht="24" customHeight="1" x14ac:dyDescent="0.2">
      <c r="A31" s="104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38"/>
      <c r="AC31" s="38"/>
      <c r="AD31" s="27"/>
      <c r="AE31" s="27"/>
      <c r="AF31" s="39"/>
      <c r="AG31" s="50"/>
      <c r="AH31" s="108"/>
      <c r="AI31" s="109"/>
      <c r="AJ31" s="109"/>
      <c r="AK31" s="109"/>
      <c r="AL31" s="109"/>
    </row>
    <row r="32" spans="1:38" ht="24" customHeight="1" thickBot="1" x14ac:dyDescent="0.25">
      <c r="A32" s="105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31"/>
      <c r="AC32" s="31"/>
      <c r="AD32" s="26"/>
      <c r="AE32" s="26"/>
      <c r="AF32" s="30"/>
      <c r="AG32" s="49"/>
      <c r="AH32" s="108"/>
      <c r="AI32" s="109"/>
      <c r="AJ32" s="109"/>
      <c r="AK32" s="109"/>
      <c r="AL32" s="109"/>
    </row>
    <row r="33" spans="1:38" ht="24" customHeight="1" thickBot="1" x14ac:dyDescent="0.25">
      <c r="B33" s="14" t="s">
        <v>18</v>
      </c>
      <c r="G33" s="15" t="s">
        <v>19</v>
      </c>
      <c r="H33" s="15"/>
      <c r="I33" s="15"/>
      <c r="J33" s="15"/>
      <c r="K33" s="15" t="s">
        <v>20</v>
      </c>
      <c r="L33" s="15"/>
      <c r="M33" s="15"/>
      <c r="N33" s="15"/>
      <c r="O33" s="15" t="s">
        <v>21</v>
      </c>
      <c r="P33" s="15"/>
      <c r="Q33" s="15"/>
      <c r="R33" s="15"/>
      <c r="S33" s="15" t="s">
        <v>22</v>
      </c>
      <c r="T33" s="15"/>
      <c r="U33" s="16"/>
      <c r="V33" s="133" t="s">
        <v>37</v>
      </c>
      <c r="W33" s="134"/>
      <c r="X33" s="134"/>
      <c r="Y33" s="134"/>
      <c r="Z33" s="134"/>
      <c r="AA33" s="134"/>
      <c r="AB33" s="131"/>
      <c r="AC33" s="132"/>
      <c r="AD33" s="124" t="s">
        <v>26</v>
      </c>
      <c r="AE33" s="125"/>
      <c r="AF33" s="125"/>
      <c r="AG33" s="44">
        <f>IF(COUNTIF(ColumnStartB:ColumnEndB, "&lt;&gt;"&amp;"") &gt; 0, 1, 0) + IF(COUNTIF(ColumnStartC:ColumnEndC, "&lt;&gt;"&amp;"")  &gt;0, 1, 0) + IF(COUNTIF(ColumnStartD:ColumnEndD, "&lt;&gt;"&amp;"")  &gt;0, 1, 0) + IF(COUNTIF(ColumnStartE:ColumnEndE, "&lt;&gt;"&amp;"")  &gt;0, 1, 0) + IF(COUNTIF(ColumnStartF:ColumnEndF, "&lt;&gt;"&amp;"")  &gt;0, 1, 0) + IF(COUNTIF(ColumnStartG:ColumnEndG, "&lt;&gt;"&amp;"")  &gt;0, 1, 0) + IF(COUNTIF(ColumnStartH:ColumnEndH, "&lt;&gt;"&amp;"")  &gt;0, 1, 0) + IF(COUNTIF(ColumnStartI:ColumnEndI, "&lt;&gt;"&amp;"")  &gt;0, 1, 0) + IF(COUNTIF(ColumnStartJ:ColumnEndJ, "&lt;&gt;"&amp;"")  &gt;0, 1, 0) + IF(COUNTIF(ColumnStartK:ColumnEndK, "&lt;&gt;"&amp;"")  &gt;0, 1, 0) + IF(COUNTIF(ColumnStartL:ColumnEndL, "&lt;&gt;"&amp;"")  &gt;0, 1, 0)+ IF(COUNTIF(ColumnStartM:ColumnEndM, "&lt;&gt;"&amp;"")  &gt;0, 1, 0) + IF(COUNTIF(ColumnStartN:ColumnEndN, "&lt;&gt;"&amp;"")  &gt;0, 1, 0) + IF(COUNTIF(ColumnStartO:ColumnEndO,"&lt;&gt;"&amp;"")  &gt;0, 1, 0) + IF(COUNTIF(ColumnStartP:ColumnEndP,"&lt;&gt;"&amp;"")  &gt;0, 1, 0) + IF(COUNTIF(ColumnStartQ:ColumnEndQ, "&lt;&gt;"&amp;"")  &gt;0, 1, 0) + IF(COUNTIF(ColumnStartR:ColumnEndR, "&lt;&gt;"&amp;"")  &gt;0, 1, 0) + IF(COUNTIF(ColumnStartS:ColumnEndS, "&lt;&gt;"&amp;"")  &gt;0, 1, 0) + IF(COUNTIF(ColumnStartT:ColumnEndT, "&lt;&gt;"&amp;"")  &gt;0, 1, 0)  + IF(COUNTIF(ColumnStartU:ColumnEndU, "&lt;&gt;"&amp;"")  &gt;0, 1, 0) + IF(COUNTIF(ColumnStartV:ColumnEndV,"&lt;&gt;"&amp;"")  &gt;0, 1, 0) + IF(COUNTIF(ColumnStartW:ColumnEndW, "&lt;&gt;"&amp;"")  &gt;0, 1, 0) + IF(COUNTIF(ColumnStartX:ColumnEndX, "&lt;&gt;"&amp;"")  &gt;0, 1, 0) + IF(COUNTIF(ColumnStartY:ColumnEndY,"&lt;&gt;"&amp;"")  &gt;0, 1, 0) + IF(COUNTIF(ColumnStartZ:ColumnEndZ, "&lt;&gt;"&amp;"")  &gt;0, 1, 0) + IF(COUNTIF(ColumnStartAA:ColumnEndAA, "&lt;&gt;"&amp;"")  &gt;0, 1, 0) + IF(COUNTIF(ColumnStartAB:ColumnEndAB, "&lt;&gt;"&amp;"")  &gt;0, 1, 0) + IF(COUNTIF(ColumnStartAC:ColumnEndAC, "&lt;&gt;"&amp;"")  &gt;0, 1, 0) + IF(COUNTIF(ColumnStartAD:ColumnEndAD, "&lt;&gt;"&amp;"")  &gt;0, 1, 0) + IF(COUNTIF(ColumnStartAE:ColumnEndAE, "&lt;&gt;"&amp;"")  &gt;0, 1, 0) + IF(COUNTIF(ColumnStartAF:ColumnEndAF, "&lt;&gt;"&amp;"")  &gt;0, 1, 0)</f>
        <v>0</v>
      </c>
      <c r="AH33" s="108"/>
      <c r="AI33" s="109"/>
      <c r="AJ33" s="109"/>
      <c r="AK33" s="109"/>
      <c r="AL33" s="109"/>
    </row>
    <row r="34" spans="1:38" ht="24" customHeight="1" x14ac:dyDescent="0.2">
      <c r="A34" s="110"/>
      <c r="B34" s="114" t="s">
        <v>23</v>
      </c>
      <c r="C34" s="115"/>
      <c r="D34" s="115"/>
      <c r="E34" s="115"/>
      <c r="F34" s="115"/>
      <c r="G34" s="115"/>
      <c r="H34" s="115"/>
      <c r="I34" s="115"/>
      <c r="J34" s="115"/>
      <c r="K34" s="117"/>
      <c r="L34" s="114" t="s">
        <v>17</v>
      </c>
      <c r="M34" s="117"/>
      <c r="N34" s="114" t="s">
        <v>24</v>
      </c>
      <c r="O34" s="115"/>
      <c r="P34" s="115"/>
      <c r="Q34" s="115"/>
      <c r="R34" s="114" t="s">
        <v>23</v>
      </c>
      <c r="S34" s="115"/>
      <c r="T34" s="115"/>
      <c r="U34" s="115"/>
      <c r="V34" s="115"/>
      <c r="W34" s="115"/>
      <c r="X34" s="115"/>
      <c r="Y34" s="115"/>
      <c r="Z34" s="115"/>
      <c r="AA34" s="117"/>
      <c r="AB34" s="118" t="s">
        <v>17</v>
      </c>
      <c r="AC34" s="116"/>
      <c r="AD34" s="114" t="s">
        <v>24</v>
      </c>
      <c r="AE34" s="115"/>
      <c r="AF34" s="115"/>
      <c r="AG34" s="116"/>
      <c r="AH34" s="110"/>
      <c r="AI34" s="109"/>
      <c r="AJ34" s="109"/>
      <c r="AK34" s="109"/>
      <c r="AL34" s="109"/>
    </row>
    <row r="35" spans="1:38" ht="24" customHeight="1" x14ac:dyDescent="0.2">
      <c r="A35" s="112"/>
      <c r="B35" s="98"/>
      <c r="C35" s="99"/>
      <c r="D35" s="99"/>
      <c r="E35" s="99"/>
      <c r="F35" s="99"/>
      <c r="G35" s="99"/>
      <c r="H35" s="99"/>
      <c r="I35" s="99"/>
      <c r="J35" s="99"/>
      <c r="K35" s="93"/>
      <c r="L35" s="92"/>
      <c r="M35" s="93"/>
      <c r="N35" s="92"/>
      <c r="O35" s="99"/>
      <c r="P35" s="99"/>
      <c r="Q35" s="99"/>
      <c r="R35" s="92"/>
      <c r="S35" s="99"/>
      <c r="T35" s="99"/>
      <c r="U35" s="99"/>
      <c r="V35" s="99"/>
      <c r="W35" s="99"/>
      <c r="X35" s="99"/>
      <c r="Y35" s="99"/>
      <c r="Z35" s="99"/>
      <c r="AA35" s="99"/>
      <c r="AB35" s="119"/>
      <c r="AC35" s="120"/>
      <c r="AD35" s="119"/>
      <c r="AE35" s="121"/>
      <c r="AF35" s="121"/>
      <c r="AG35" s="122"/>
      <c r="AH35" s="108"/>
      <c r="AI35" s="109"/>
      <c r="AJ35" s="109"/>
      <c r="AK35" s="109"/>
      <c r="AL35" s="109"/>
    </row>
    <row r="36" spans="1:38" ht="24" customHeight="1" x14ac:dyDescent="0.2">
      <c r="A36" s="112"/>
      <c r="B36" s="100"/>
      <c r="C36" s="101"/>
      <c r="D36" s="101"/>
      <c r="E36" s="101"/>
      <c r="F36" s="101"/>
      <c r="G36" s="101"/>
      <c r="H36" s="101"/>
      <c r="I36" s="101"/>
      <c r="J36" s="101"/>
      <c r="K36" s="102"/>
      <c r="L36" s="113"/>
      <c r="M36" s="102"/>
      <c r="N36" s="113"/>
      <c r="O36" s="101"/>
      <c r="P36" s="101"/>
      <c r="Q36" s="101"/>
      <c r="R36" s="113"/>
      <c r="S36" s="101"/>
      <c r="T36" s="101"/>
      <c r="U36" s="101"/>
      <c r="V36" s="101"/>
      <c r="W36" s="101"/>
      <c r="X36" s="101"/>
      <c r="Y36" s="101"/>
      <c r="Z36" s="101"/>
      <c r="AA36" s="101"/>
      <c r="AB36" s="160"/>
      <c r="AC36" s="161"/>
      <c r="AD36" s="160"/>
      <c r="AE36" s="162"/>
      <c r="AF36" s="162"/>
      <c r="AG36" s="163"/>
      <c r="AH36" s="108"/>
      <c r="AI36" s="109"/>
      <c r="AJ36" s="109"/>
      <c r="AK36" s="109"/>
      <c r="AL36" s="109"/>
    </row>
    <row r="37" spans="1:38" ht="24" customHeight="1" x14ac:dyDescent="0.2">
      <c r="A37" s="112"/>
      <c r="B37" s="98"/>
      <c r="C37" s="99"/>
      <c r="D37" s="99"/>
      <c r="E37" s="99"/>
      <c r="F37" s="99"/>
      <c r="G37" s="99"/>
      <c r="H37" s="99"/>
      <c r="I37" s="99"/>
      <c r="J37" s="99"/>
      <c r="K37" s="93"/>
      <c r="L37" s="92"/>
      <c r="M37" s="93"/>
      <c r="N37" s="92"/>
      <c r="O37" s="99"/>
      <c r="P37" s="99"/>
      <c r="Q37" s="99"/>
      <c r="R37" s="92"/>
      <c r="S37" s="99"/>
      <c r="T37" s="99"/>
      <c r="U37" s="99"/>
      <c r="V37" s="99"/>
      <c r="W37" s="99"/>
      <c r="X37" s="99"/>
      <c r="Y37" s="99"/>
      <c r="Z37" s="99"/>
      <c r="AA37" s="99"/>
      <c r="AB37" s="119"/>
      <c r="AC37" s="120"/>
      <c r="AD37" s="119"/>
      <c r="AE37" s="121"/>
      <c r="AF37" s="121"/>
      <c r="AG37" s="122"/>
      <c r="AH37" s="108"/>
      <c r="AI37" s="109"/>
      <c r="AJ37" s="109"/>
      <c r="AK37" s="109"/>
      <c r="AL37" s="109"/>
    </row>
    <row r="38" spans="1:38" ht="24" customHeight="1" x14ac:dyDescent="0.2">
      <c r="B38" s="100"/>
      <c r="C38" s="101"/>
      <c r="D38" s="101"/>
      <c r="E38" s="101"/>
      <c r="F38" s="101"/>
      <c r="G38" s="101"/>
      <c r="H38" s="101"/>
      <c r="I38" s="101"/>
      <c r="J38" s="101"/>
      <c r="K38" s="102"/>
      <c r="L38" s="113"/>
      <c r="M38" s="102"/>
      <c r="N38" s="113"/>
      <c r="O38" s="101"/>
      <c r="P38" s="101"/>
      <c r="Q38" s="101"/>
      <c r="R38" s="113"/>
      <c r="S38" s="101"/>
      <c r="T38" s="101"/>
      <c r="U38" s="101"/>
      <c r="V38" s="101"/>
      <c r="W38" s="101"/>
      <c r="X38" s="101"/>
      <c r="Y38" s="101"/>
      <c r="Z38" s="101"/>
      <c r="AA38" s="101"/>
      <c r="AB38" s="160"/>
      <c r="AC38" s="161"/>
      <c r="AD38" s="160"/>
      <c r="AE38" s="162"/>
      <c r="AF38" s="162"/>
      <c r="AG38" s="163"/>
      <c r="AH38" s="108"/>
      <c r="AI38" s="109"/>
      <c r="AJ38" s="109"/>
      <c r="AK38" s="109"/>
      <c r="AL38" s="109"/>
    </row>
    <row r="39" spans="1:38" ht="24" customHeight="1" x14ac:dyDescent="0.2">
      <c r="B39" s="98"/>
      <c r="C39" s="99"/>
      <c r="D39" s="99"/>
      <c r="E39" s="99"/>
      <c r="F39" s="99"/>
      <c r="G39" s="99"/>
      <c r="H39" s="99"/>
      <c r="I39" s="99"/>
      <c r="J39" s="99"/>
      <c r="K39" s="93"/>
      <c r="L39" s="92"/>
      <c r="M39" s="93"/>
      <c r="N39" s="92"/>
      <c r="O39" s="99"/>
      <c r="P39" s="99"/>
      <c r="Q39" s="99"/>
      <c r="R39" s="92"/>
      <c r="S39" s="99"/>
      <c r="T39" s="99"/>
      <c r="U39" s="99"/>
      <c r="V39" s="99"/>
      <c r="W39" s="99"/>
      <c r="X39" s="99"/>
      <c r="Y39" s="99"/>
      <c r="Z39" s="99"/>
      <c r="AA39" s="99"/>
      <c r="AB39" s="119"/>
      <c r="AC39" s="120"/>
      <c r="AD39" s="119"/>
      <c r="AE39" s="121"/>
      <c r="AF39" s="121"/>
      <c r="AG39" s="122"/>
      <c r="AH39" s="56"/>
      <c r="AI39" s="52"/>
      <c r="AJ39" s="52"/>
      <c r="AK39" s="52"/>
      <c r="AL39" s="52"/>
    </row>
    <row r="40" spans="1:38" ht="24" customHeight="1" x14ac:dyDescent="0.2">
      <c r="B40" s="100"/>
      <c r="C40" s="101"/>
      <c r="D40" s="101"/>
      <c r="E40" s="101"/>
      <c r="F40" s="101"/>
      <c r="G40" s="101"/>
      <c r="H40" s="101"/>
      <c r="I40" s="101"/>
      <c r="J40" s="101"/>
      <c r="K40" s="102"/>
      <c r="L40" s="113"/>
      <c r="M40" s="102"/>
      <c r="N40" s="113"/>
      <c r="O40" s="101"/>
      <c r="P40" s="101"/>
      <c r="Q40" s="101"/>
      <c r="R40" s="113"/>
      <c r="S40" s="101"/>
      <c r="T40" s="101"/>
      <c r="U40" s="101"/>
      <c r="V40" s="101"/>
      <c r="W40" s="101"/>
      <c r="X40" s="101"/>
      <c r="Y40" s="101"/>
      <c r="Z40" s="101"/>
      <c r="AA40" s="101"/>
      <c r="AB40" s="160"/>
      <c r="AC40" s="161"/>
      <c r="AD40" s="160"/>
      <c r="AE40" s="162"/>
      <c r="AF40" s="162"/>
      <c r="AG40" s="163"/>
      <c r="AH40" s="56"/>
      <c r="AI40" s="52"/>
      <c r="AJ40" s="52"/>
      <c r="AK40" s="52"/>
      <c r="AL40" s="52"/>
    </row>
    <row r="41" spans="1:38" ht="24" customHeight="1" x14ac:dyDescent="0.2">
      <c r="B41" s="98"/>
      <c r="C41" s="99"/>
      <c r="D41" s="99"/>
      <c r="E41" s="99"/>
      <c r="F41" s="99"/>
      <c r="G41" s="99"/>
      <c r="H41" s="99"/>
      <c r="I41" s="99"/>
      <c r="J41" s="99"/>
      <c r="K41" s="93"/>
      <c r="L41" s="92"/>
      <c r="M41" s="93"/>
      <c r="N41" s="92"/>
      <c r="O41" s="99"/>
      <c r="P41" s="99"/>
      <c r="Q41" s="99"/>
      <c r="R41" s="92"/>
      <c r="S41" s="99"/>
      <c r="T41" s="99"/>
      <c r="U41" s="99"/>
      <c r="V41" s="99"/>
      <c r="W41" s="99"/>
      <c r="X41" s="99"/>
      <c r="Y41" s="99"/>
      <c r="Z41" s="99"/>
      <c r="AA41" s="99"/>
      <c r="AB41" s="119"/>
      <c r="AC41" s="120"/>
      <c r="AD41" s="119"/>
      <c r="AE41" s="121"/>
      <c r="AF41" s="121"/>
      <c r="AG41" s="122"/>
      <c r="AH41" s="56"/>
      <c r="AI41" s="52"/>
      <c r="AJ41" s="52"/>
      <c r="AK41" s="52"/>
      <c r="AL41" s="52"/>
    </row>
    <row r="42" spans="1:38" ht="24" customHeight="1" thickBot="1" x14ac:dyDescent="0.25">
      <c r="B42" s="155"/>
      <c r="C42" s="156"/>
      <c r="D42" s="156"/>
      <c r="E42" s="156"/>
      <c r="F42" s="156"/>
      <c r="G42" s="156"/>
      <c r="H42" s="156"/>
      <c r="I42" s="156"/>
      <c r="J42" s="156"/>
      <c r="K42" s="154"/>
      <c r="L42" s="153"/>
      <c r="M42" s="154"/>
      <c r="N42" s="153"/>
      <c r="O42" s="156"/>
      <c r="P42" s="156"/>
      <c r="Q42" s="156"/>
      <c r="R42" s="153"/>
      <c r="S42" s="156"/>
      <c r="T42" s="156"/>
      <c r="U42" s="156"/>
      <c r="V42" s="156"/>
      <c r="W42" s="156"/>
      <c r="X42" s="156"/>
      <c r="Y42" s="156"/>
      <c r="Z42" s="156"/>
      <c r="AA42" s="156"/>
      <c r="AB42" s="150"/>
      <c r="AC42" s="157"/>
      <c r="AD42" s="150"/>
      <c r="AE42" s="151"/>
      <c r="AF42" s="151"/>
      <c r="AG42" s="152"/>
      <c r="AH42" s="56"/>
      <c r="AI42" s="52"/>
      <c r="AJ42" s="52"/>
      <c r="AK42" s="52"/>
      <c r="AL42" s="52"/>
    </row>
    <row r="43" spans="1:38" ht="24" hidden="1" customHeight="1" x14ac:dyDescent="0.2">
      <c r="AH43" s="46"/>
      <c r="AI43" s="46"/>
      <c r="AJ43" s="46"/>
      <c r="AK43" s="46"/>
      <c r="AL43" s="46"/>
    </row>
    <row r="44" spans="1:38" ht="24" hidden="1" customHeight="1" x14ac:dyDescent="0.2">
      <c r="A44" s="19">
        <v>0</v>
      </c>
      <c r="B44" s="19">
        <v>1</v>
      </c>
      <c r="C44" s="19">
        <v>2</v>
      </c>
      <c r="D44" s="19">
        <v>3</v>
      </c>
      <c r="E44" s="19">
        <v>4</v>
      </c>
      <c r="F44" s="19">
        <v>5</v>
      </c>
      <c r="G44" s="19">
        <v>6</v>
      </c>
      <c r="H44" s="19">
        <v>7</v>
      </c>
      <c r="I44" s="19">
        <v>8</v>
      </c>
      <c r="J44" s="19">
        <v>9</v>
      </c>
      <c r="K44" s="19">
        <v>10</v>
      </c>
      <c r="L44" s="19">
        <v>11</v>
      </c>
      <c r="M44" s="19">
        <v>12</v>
      </c>
      <c r="N44" s="19">
        <v>13</v>
      </c>
      <c r="O44" s="19">
        <v>14</v>
      </c>
      <c r="P44" s="19">
        <v>15</v>
      </c>
      <c r="Q44" s="19">
        <v>16</v>
      </c>
      <c r="R44" s="19">
        <v>17</v>
      </c>
      <c r="S44" s="19">
        <v>18</v>
      </c>
      <c r="T44" s="19">
        <v>19</v>
      </c>
      <c r="U44" s="19">
        <v>20</v>
      </c>
      <c r="V44" s="19">
        <v>21</v>
      </c>
      <c r="W44" s="19">
        <v>22</v>
      </c>
      <c r="X44" s="19">
        <v>23</v>
      </c>
      <c r="Y44" s="19">
        <v>24</v>
      </c>
      <c r="Z44" s="19">
        <v>25</v>
      </c>
      <c r="AA44" s="19">
        <v>26</v>
      </c>
      <c r="AB44" s="19">
        <v>27</v>
      </c>
      <c r="AC44" s="19">
        <v>28</v>
      </c>
      <c r="AD44" s="19">
        <v>29</v>
      </c>
      <c r="AE44" s="19">
        <v>30</v>
      </c>
      <c r="AF44" s="19">
        <v>31</v>
      </c>
      <c r="AH44" s="46"/>
      <c r="AI44" s="46"/>
      <c r="AJ44" s="46"/>
      <c r="AK44" s="46"/>
      <c r="AL44" s="46"/>
    </row>
    <row r="45" spans="1:38" ht="21.75" hidden="1" customHeight="1" thickBot="1" x14ac:dyDescent="0.25">
      <c r="A45" s="19">
        <v>1</v>
      </c>
      <c r="B45" s="19">
        <v>0</v>
      </c>
      <c r="AH45" s="46"/>
      <c r="AI45" s="46"/>
      <c r="AJ45" s="46"/>
      <c r="AK45" s="46"/>
      <c r="AL45" s="46"/>
    </row>
    <row r="46" spans="1:38" ht="21.75" hidden="1" customHeight="1" thickBot="1" x14ac:dyDescent="0.25">
      <c r="A46" s="19">
        <v>2</v>
      </c>
      <c r="C46" s="19" t="s">
        <v>49</v>
      </c>
      <c r="J46" s="63">
        <f>IF(COUNTA(B9:B27)&gt; 0, 1, 0)+IF(COUNTA(C9:C27)&gt; 0, 1, 0)+IF(COUNTA(D9:D27)&gt; 0, 1, 0)+IF(COUNTA(E9:E27)&gt; 0, 1, 0)+IF(COUNTA(F9:F27)&gt; 0, 1, 0)+IF(COUNTA(G9:G27)&gt; 0, 1, 0)+IF(COUNTA(H9:H27)&gt; 0, 1, 0)+IF(COUNTA(I9:I27)&gt; 0, 1, 0)+IF(COUNTA(J9:J27)&gt; 0, 1, 0)+IF(COUNTA(K9:K27)&gt; 0, 1, 0)+IF(COUNTA(L9:L27)&gt; 0, 1, 0)+IF(COUNTA(M9:M27)&gt; 0, 1, 0)+IF(COUNTA(N9:N27)&gt; 0, 1, 0)+IF(COUNTA(O9:O27)&gt; 0, 1, 0)+IF(COUNTA(P9:P27)&gt; 0, 1, 0)+IF(COUNTA(Q9:Q27)&gt; 0, 1, 0)+IF(COUNTA(R9:R27)&gt; 0, 1, 0)+IF(COUNTA(S9:S27)&gt; 0, 1, 0)+IF(COUNTA(T9:T27)&gt; 0, 1, 0)+IF(COUNTA(U9:U27)&gt; 0, 1, 0)+IF(COUNTA(V9:V27)&gt; 0, 1, 0)+IF(COUNTA(W9:W27)&gt; 0, 1, 0)+IF(COUNTA(X9:X27)&gt; 0, 1, 0)+IF(COUNTA(Y9:Y27)&gt; 0, 1, 0)+IF(COUNTA(Z9:Z27)&gt; 0, 1, 0)+IF(COUNTA(AA9:AA27)&gt; 0, 1, 0)+IF(COUNTA(AB9:AB27)&gt; 0, 1, 0)+IF(COUNTA(AC9:AC27)&gt; 0, 1, 0)+IF(COUNTA(AD9:AD27)&gt; 0, 1, 0)+IF(COUNTA(AE9:AE27)&gt; 0, 1, 0)+IF(COUNTA(AF9:AF27)&gt; 0, 1, 0)</f>
        <v>0</v>
      </c>
      <c r="AH46" s="46"/>
      <c r="AI46" s="46"/>
      <c r="AJ46" s="46"/>
      <c r="AK46" s="46"/>
      <c r="AL46" s="46"/>
    </row>
    <row r="47" spans="1:38" ht="24" hidden="1" customHeight="1" thickBot="1" x14ac:dyDescent="0.25">
      <c r="A47" s="19">
        <v>3</v>
      </c>
      <c r="C47" s="19" t="s">
        <v>50</v>
      </c>
      <c r="J47" s="63">
        <f>COUNTIF(B45:AF45, "&gt;=2")</f>
        <v>0</v>
      </c>
      <c r="AH47" s="46"/>
      <c r="AI47" s="46"/>
      <c r="AJ47" s="46"/>
      <c r="AK47" s="46"/>
      <c r="AL47" s="46"/>
    </row>
    <row r="48" spans="1:38" ht="23.25" hidden="1" customHeight="1" x14ac:dyDescent="0.2">
      <c r="A48" s="19">
        <v>4</v>
      </c>
      <c r="J48" s="64"/>
      <c r="AH48" s="46"/>
      <c r="AI48" s="46"/>
      <c r="AJ48" s="46"/>
      <c r="AK48" s="46"/>
      <c r="AL48" s="46"/>
    </row>
    <row r="49" spans="1:38" ht="15.75" hidden="1" customHeight="1" x14ac:dyDescent="0.2">
      <c r="A49" s="19">
        <v>5</v>
      </c>
      <c r="AH49" s="46"/>
      <c r="AI49" s="46"/>
      <c r="AJ49" s="46"/>
      <c r="AK49" s="46"/>
      <c r="AL49" s="46"/>
    </row>
    <row r="50" spans="1:38" ht="15" hidden="1" customHeight="1" x14ac:dyDescent="0.2">
      <c r="A50" s="19">
        <v>6</v>
      </c>
      <c r="AH50" s="46"/>
      <c r="AI50" s="46"/>
      <c r="AJ50" s="46"/>
      <c r="AK50" s="46"/>
      <c r="AL50" s="46"/>
    </row>
    <row r="51" spans="1:38" ht="16.5" hidden="1" customHeight="1" x14ac:dyDescent="0.2">
      <c r="A51" s="19">
        <v>7</v>
      </c>
      <c r="AH51" s="46"/>
      <c r="AI51" s="46"/>
      <c r="AJ51" s="46"/>
      <c r="AK51" s="46"/>
      <c r="AL51" s="46"/>
    </row>
    <row r="52" spans="1:38" ht="15.75" hidden="1" customHeight="1" x14ac:dyDescent="0.2">
      <c r="A52" s="19">
        <v>8</v>
      </c>
    </row>
    <row r="53" spans="1:38" ht="16.5" hidden="1" customHeight="1" x14ac:dyDescent="0.2">
      <c r="A53" s="19">
        <v>9</v>
      </c>
    </row>
    <row r="54" spans="1:38" ht="13.5" hidden="1" customHeight="1" x14ac:dyDescent="0.2">
      <c r="A54" s="19">
        <v>10</v>
      </c>
    </row>
    <row r="55" spans="1:38" ht="12.75" hidden="1" customHeight="1" x14ac:dyDescent="0.2">
      <c r="A55" s="19">
        <v>11</v>
      </c>
    </row>
    <row r="56" spans="1:38" ht="12.75" hidden="1" customHeight="1" x14ac:dyDescent="0.2">
      <c r="A56" s="19">
        <v>12</v>
      </c>
    </row>
    <row r="57" spans="1:38" ht="12.75" hidden="1" customHeight="1" x14ac:dyDescent="0.2">
      <c r="A57" s="19">
        <v>13</v>
      </c>
    </row>
    <row r="58" spans="1:38" ht="12.75" hidden="1" customHeight="1" x14ac:dyDescent="0.2">
      <c r="A58" s="19">
        <v>14</v>
      </c>
    </row>
    <row r="59" spans="1:38" ht="12.75" hidden="1" customHeight="1" x14ac:dyDescent="0.2">
      <c r="A59" s="19">
        <v>15</v>
      </c>
    </row>
    <row r="60" spans="1:38" ht="12.75" hidden="1" customHeight="1" x14ac:dyDescent="0.2">
      <c r="A60" s="19">
        <v>16</v>
      </c>
    </row>
    <row r="61" spans="1:38" ht="12.75" hidden="1" customHeight="1" x14ac:dyDescent="0.2">
      <c r="A61" s="19">
        <v>17</v>
      </c>
    </row>
    <row r="62" spans="1:38" ht="12.75" hidden="1" customHeight="1" x14ac:dyDescent="0.2">
      <c r="A62" s="19">
        <v>18</v>
      </c>
    </row>
    <row r="63" spans="1:38" ht="12.75" hidden="1" customHeight="1" x14ac:dyDescent="0.2">
      <c r="A63" s="19">
        <v>19</v>
      </c>
    </row>
    <row r="64" spans="1:38" ht="12.75" hidden="1" customHeight="1" x14ac:dyDescent="0.2">
      <c r="A64" s="19">
        <v>20</v>
      </c>
    </row>
    <row r="65" spans="1:1" ht="12.75" hidden="1" customHeight="1" x14ac:dyDescent="0.2">
      <c r="A65" s="19">
        <v>21</v>
      </c>
    </row>
    <row r="66" spans="1:1" ht="12.75" hidden="1" customHeight="1" x14ac:dyDescent="0.2">
      <c r="A66" s="19">
        <v>22</v>
      </c>
    </row>
    <row r="67" spans="1:1" ht="12.75" hidden="1" customHeight="1" x14ac:dyDescent="0.2">
      <c r="A67" s="19">
        <v>23</v>
      </c>
    </row>
    <row r="68" spans="1:1" ht="12.75" hidden="1" customHeight="1" x14ac:dyDescent="0.2">
      <c r="A68" s="19">
        <v>24</v>
      </c>
    </row>
    <row r="69" spans="1:1" ht="12.75" hidden="1" customHeight="1" x14ac:dyDescent="0.2">
      <c r="A69" s="19">
        <v>25</v>
      </c>
    </row>
    <row r="70" spans="1:1" ht="12.75" hidden="1" customHeight="1" x14ac:dyDescent="0.2">
      <c r="A70" s="19">
        <v>26</v>
      </c>
    </row>
    <row r="71" spans="1:1" ht="12.75" hidden="1" customHeight="1" x14ac:dyDescent="0.2">
      <c r="A71" s="19">
        <v>27</v>
      </c>
    </row>
    <row r="72" spans="1:1" ht="12.75" hidden="1" customHeight="1" x14ac:dyDescent="0.2">
      <c r="A72" s="19">
        <v>28</v>
      </c>
    </row>
    <row r="73" spans="1:1" ht="12.75" hidden="1" customHeight="1" x14ac:dyDescent="0.2">
      <c r="A73" s="19">
        <v>29</v>
      </c>
    </row>
    <row r="74" spans="1:1" ht="12.75" hidden="1" customHeight="1" x14ac:dyDescent="0.2">
      <c r="A74" s="19">
        <v>30</v>
      </c>
    </row>
    <row r="75" spans="1:1" ht="12.75" hidden="1" customHeight="1" x14ac:dyDescent="0.2">
      <c r="A75" s="19">
        <v>31</v>
      </c>
    </row>
    <row r="76" spans="1:1" ht="12.75" hidden="1" customHeight="1" x14ac:dyDescent="0.2">
      <c r="A76" s="37"/>
    </row>
    <row r="77" spans="1:1" ht="12.75" hidden="1" customHeight="1" x14ac:dyDescent="0.2">
      <c r="A77" s="19" t="s">
        <v>41</v>
      </c>
    </row>
    <row r="78" spans="1:1" ht="12.75" hidden="1" customHeight="1" x14ac:dyDescent="0.2">
      <c r="A78" s="19">
        <f>COUNTIF(Initials1:Initials8, Initials1) + COUNTIF(Initials9:Initials16, Initials1)</f>
        <v>0</v>
      </c>
    </row>
    <row r="79" spans="1:1" ht="12.75" hidden="1" customHeight="1" x14ac:dyDescent="0.2">
      <c r="A79" s="19">
        <f>COUNTIF(Initials1:Initials8, Initials2) + COUNTIF(Initials9:Initials16, Initials2)</f>
        <v>0</v>
      </c>
    </row>
    <row r="80" spans="1:1" ht="12.75" hidden="1" customHeight="1" x14ac:dyDescent="0.2">
      <c r="A80" s="19">
        <f>COUNTIF(Initials1:Initials8, Initials3) + COUNTIF(Initials9:Initials16, Initials3)</f>
        <v>0</v>
      </c>
    </row>
    <row r="81" spans="1:1" ht="12.75" hidden="1" customHeight="1" x14ac:dyDescent="0.2">
      <c r="A81" s="19">
        <f xml:space="preserve"> COUNTIF(Initials1:Initials8, Initials4) + COUNTIF(Initials9:Initials16, Initials4)</f>
        <v>0</v>
      </c>
    </row>
    <row r="82" spans="1:1" ht="12.75" hidden="1" customHeight="1" x14ac:dyDescent="0.2">
      <c r="A82" s="19">
        <f xml:space="preserve"> COUNTIF(Initials1:Initials8, Initials5) + COUNTIF(Initials9:Initials16, Initials5)</f>
        <v>0</v>
      </c>
    </row>
    <row r="83" spans="1:1" ht="12.75" hidden="1" customHeight="1" x14ac:dyDescent="0.2">
      <c r="A83" s="19">
        <f>COUNTIF(Initials1:Initials8, Initials6) + COUNTIF(Initials9:Initials16, Initials6)</f>
        <v>0</v>
      </c>
    </row>
    <row r="84" spans="1:1" ht="12.75" hidden="1" customHeight="1" x14ac:dyDescent="0.2">
      <c r="A84" s="19">
        <f xml:space="preserve"> COUNTIF(Initials1:Initials8, Initials7) + COUNTIF(Initials9:Initials16, Initials7)</f>
        <v>0</v>
      </c>
    </row>
    <row r="85" spans="1:1" ht="12.75" hidden="1" customHeight="1" x14ac:dyDescent="0.2">
      <c r="A85" s="19">
        <f xml:space="preserve"> COUNTIF(Initials1:Initials8, Initials8) + COUNTIF(Initials9:Initials16, Initials8)</f>
        <v>0</v>
      </c>
    </row>
    <row r="86" spans="1:1" ht="12.75" hidden="1" customHeight="1" x14ac:dyDescent="0.2">
      <c r="A86" s="19">
        <f xml:space="preserve"> COUNTIF(Initials1:Initials8, Initials9) + COUNTIF(Initials9:Initials16, Initials9)</f>
        <v>0</v>
      </c>
    </row>
    <row r="87" spans="1:1" ht="12.75" hidden="1" customHeight="1" x14ac:dyDescent="0.2">
      <c r="A87" s="19">
        <f xml:space="preserve"> COUNTIF(Initials1:Initials8, Initials10) + COUNTIF(Initials9:Initials16, Initials10)</f>
        <v>0</v>
      </c>
    </row>
    <row r="88" spans="1:1" ht="12.75" hidden="1" customHeight="1" x14ac:dyDescent="0.2">
      <c r="A88" s="19">
        <f xml:space="preserve"> COUNTIF(Initials1:Initials8, Initials11) + COUNTIF(Initials9:Initials16, Initials11)</f>
        <v>0</v>
      </c>
    </row>
    <row r="89" spans="1:1" ht="12.75" hidden="1" customHeight="1" x14ac:dyDescent="0.2">
      <c r="A89" s="19">
        <f xml:space="preserve"> COUNTIF(Initials1:Initials8, Initials12) + COUNTIF(Initials9:Initials16, Initials12)</f>
        <v>0</v>
      </c>
    </row>
    <row r="90" spans="1:1" ht="12.75" hidden="1" customHeight="1" x14ac:dyDescent="0.2">
      <c r="A90" s="19">
        <f xml:space="preserve"> COUNTIF(Initials1:Initials8, Initials13) + COUNTIF(Initials9:Initials16, Initials13)</f>
        <v>0</v>
      </c>
    </row>
    <row r="91" spans="1:1" ht="12.75" hidden="1" customHeight="1" x14ac:dyDescent="0.2">
      <c r="A91" s="19">
        <f xml:space="preserve"> COUNTIF(Initials1:Initials8, Initials14) + COUNTIF(Initials9:Initials16, Initials14)</f>
        <v>0</v>
      </c>
    </row>
    <row r="92" spans="1:1" ht="12.75" hidden="1" customHeight="1" x14ac:dyDescent="0.2">
      <c r="A92" s="19">
        <f xml:space="preserve"> COUNTIF(Initials1:Initials8, Initials15) + COUNTIF(Initials9:Initials16, Initials15)</f>
        <v>0</v>
      </c>
    </row>
    <row r="93" spans="1:1" ht="12.75" hidden="1" customHeight="1" x14ac:dyDescent="0.2">
      <c r="A93" s="19">
        <f xml:space="preserve"> COUNTIF(Initials1:Initials8, Initials16) + COUNTIF(Initials9:Initials16, Initials16)</f>
        <v>0</v>
      </c>
    </row>
    <row r="94" spans="1:1" ht="12.75" hidden="1" customHeight="1" x14ac:dyDescent="0.2"/>
  </sheetData>
  <sheetProtection password="A2E9" sheet="1" objects="1" scenarios="1" selectLockedCells="1"/>
  <dataConsolidate/>
  <mergeCells count="87">
    <mergeCell ref="B1:H1"/>
    <mergeCell ref="L39:M39"/>
    <mergeCell ref="L40:M40"/>
    <mergeCell ref="L41:M41"/>
    <mergeCell ref="B38:K38"/>
    <mergeCell ref="B39:K39"/>
    <mergeCell ref="B40:K40"/>
    <mergeCell ref="B41:K41"/>
    <mergeCell ref="E6:G6"/>
    <mergeCell ref="L34:M34"/>
    <mergeCell ref="B34:K34"/>
    <mergeCell ref="L35:M35"/>
    <mergeCell ref="L36:M36"/>
    <mergeCell ref="H2:O2"/>
    <mergeCell ref="N6:P6"/>
    <mergeCell ref="B3:G3"/>
    <mergeCell ref="U1:AG1"/>
    <mergeCell ref="R36:AA36"/>
    <mergeCell ref="AB40:AC40"/>
    <mergeCell ref="AD36:AG36"/>
    <mergeCell ref="AD37:AG37"/>
    <mergeCell ref="AD38:AG38"/>
    <mergeCell ref="AD39:AG39"/>
    <mergeCell ref="AD40:AG40"/>
    <mergeCell ref="X3:AG3"/>
    <mergeCell ref="W6:AA6"/>
    <mergeCell ref="R40:AA40"/>
    <mergeCell ref="I1:T1"/>
    <mergeCell ref="N40:Q40"/>
    <mergeCell ref="AB36:AC36"/>
    <mergeCell ref="AB37:AC37"/>
    <mergeCell ref="AB38:AC38"/>
    <mergeCell ref="AD42:AG42"/>
    <mergeCell ref="AB41:AC41"/>
    <mergeCell ref="AD41:AG41"/>
    <mergeCell ref="L42:M42"/>
    <mergeCell ref="B42:K42"/>
    <mergeCell ref="N42:Q42"/>
    <mergeCell ref="R42:AA42"/>
    <mergeCell ref="R41:AA41"/>
    <mergeCell ref="AB42:AC42"/>
    <mergeCell ref="N41:Q41"/>
    <mergeCell ref="AB39:AC39"/>
    <mergeCell ref="N37:Q37"/>
    <mergeCell ref="N38:Q38"/>
    <mergeCell ref="R37:AA37"/>
    <mergeCell ref="R38:AA38"/>
    <mergeCell ref="R39:AA39"/>
    <mergeCell ref="N39:Q39"/>
    <mergeCell ref="AH1:AL3"/>
    <mergeCell ref="AD33:AF33"/>
    <mergeCell ref="AB6:AG6"/>
    <mergeCell ref="W2:AG2"/>
    <mergeCell ref="V3:W3"/>
    <mergeCell ref="AB33:AC33"/>
    <mergeCell ref="V33:AA33"/>
    <mergeCell ref="B4:AG4"/>
    <mergeCell ref="B5:Y5"/>
    <mergeCell ref="AB5:AG5"/>
    <mergeCell ref="H3:N3"/>
    <mergeCell ref="O3:U3"/>
    <mergeCell ref="Z5:AA5"/>
    <mergeCell ref="S2:T2"/>
    <mergeCell ref="U2:V2"/>
    <mergeCell ref="P2:R2"/>
    <mergeCell ref="A30:A32"/>
    <mergeCell ref="B37:K37"/>
    <mergeCell ref="A4:A5"/>
    <mergeCell ref="AH9:AL38"/>
    <mergeCell ref="AH4:AL8"/>
    <mergeCell ref="A34:A37"/>
    <mergeCell ref="N36:Q36"/>
    <mergeCell ref="L38:M38"/>
    <mergeCell ref="AD34:AG34"/>
    <mergeCell ref="N34:Q34"/>
    <mergeCell ref="N35:Q35"/>
    <mergeCell ref="R34:AA34"/>
    <mergeCell ref="R35:AA35"/>
    <mergeCell ref="AB34:AC34"/>
    <mergeCell ref="AB35:AC35"/>
    <mergeCell ref="AD35:AG35"/>
    <mergeCell ref="L37:M37"/>
    <mergeCell ref="B6:D6"/>
    <mergeCell ref="H6:M6"/>
    <mergeCell ref="Q6:V6"/>
    <mergeCell ref="B35:K35"/>
    <mergeCell ref="B36:K36"/>
  </mergeCells>
  <conditionalFormatting sqref="B29:AF29">
    <cfRule type="cellIs" dxfId="8" priority="6" operator="equal">
      <formula>"D"</formula>
    </cfRule>
    <cfRule type="cellIs" dxfId="7" priority="7" operator="equal">
      <formula>"C"</formula>
    </cfRule>
    <cfRule type="cellIs" dxfId="6" priority="8" operator="equal">
      <formula>"B"</formula>
    </cfRule>
    <cfRule type="cellIs" dxfId="5" priority="9" operator="equal">
      <formula>"A"</formula>
    </cfRule>
  </conditionalFormatting>
  <conditionalFormatting sqref="B28:AF28">
    <cfRule type="cellIs" dxfId="4" priority="1" operator="equal">
      <formula>"R"</formula>
    </cfRule>
    <cfRule type="cellIs" dxfId="3" priority="2" operator="equal">
      <formula>"D"</formula>
    </cfRule>
    <cfRule type="cellIs" dxfId="2" priority="3" operator="equal">
      <formula>"C"</formula>
    </cfRule>
    <cfRule type="cellIs" dxfId="1" priority="4" operator="equal">
      <formula>"B"</formula>
    </cfRule>
    <cfRule type="cellIs" dxfId="0" priority="5" operator="equal">
      <formula>"A"</formula>
    </cfRule>
  </conditionalFormatting>
  <dataValidations count="3">
    <dataValidation type="whole" errorStyle="information" allowBlank="1" showInputMessage="1" showErrorMessage="1" errorTitle="Invalid Entry" error="Only positive numbers and the letters A, B, C and D can be entered. The letters correspond to the status codes at the bottom of the grid." sqref="B13:AF13">
      <formula1>0</formula1>
      <formula2>100000000000</formula2>
    </dataValidation>
    <dataValidation errorStyle="information" allowBlank="1" showInputMessage="1" showErrorMessage="1" errorTitle="Invalid Entry" error="Only positive numbers and the letters A, B, C and D can be entered. The letters correspond to the status codes at the bottom of the grid." sqref="B9:AF12"/>
    <dataValidation type="whole" allowBlank="1" showInputMessage="1" showErrorMessage="1" sqref="B18:AF25 B14:AF16">
      <formula1>0</formula1>
      <formula2>1000000</formula2>
    </dataValidation>
  </dataValidations>
  <pageMargins left="0" right="0" top="0.75" bottom="0" header="0.5" footer="0.5"/>
  <pageSetup scale="96" orientation="landscape" r:id="rId1"/>
  <headerFooter alignWithMargins="0"/>
  <rowBreaks count="1" manualBreakCount="1">
    <brk id="42" max="32" man="1"/>
  </rowBreaks>
  <drawing r:id="rId2"/>
  <legacyDrawing r:id="rId3"/>
  <controls>
    <mc:AlternateContent xmlns:mc="http://schemas.openxmlformats.org/markup-compatibility/2006">
      <mc:Choice Requires="x14">
        <control shapeId="2347" r:id="rId4" name="CheckBox40">
          <controlPr locked="0" defaultSize="0" autoLine="0" r:id="rId5">
            <anchor moveWithCells="1" sizeWithCells="1">
              <from>
                <xdr:col>5</xdr:col>
                <xdr:colOff>0</xdr:colOff>
                <xdr:row>0</xdr:row>
                <xdr:rowOff>190500</xdr:rowOff>
              </from>
              <to>
                <xdr:col>5</xdr:col>
                <xdr:colOff>152400</xdr:colOff>
                <xdr:row>0</xdr:row>
                <xdr:rowOff>333375</xdr:rowOff>
              </to>
            </anchor>
          </controlPr>
        </control>
      </mc:Choice>
      <mc:Fallback>
        <control shapeId="2347" r:id="rId4" name="CheckBox40"/>
      </mc:Fallback>
    </mc:AlternateContent>
    <mc:AlternateContent xmlns:mc="http://schemas.openxmlformats.org/markup-compatibility/2006">
      <mc:Choice Requires="x14">
        <control shapeId="2346" r:id="rId6" name="CheckBox39">
          <controlPr locked="0" defaultSize="0" autoLine="0" r:id="rId7">
            <anchor moveWithCells="1" sizeWithCells="1">
              <from>
                <xdr:col>2</xdr:col>
                <xdr:colOff>200025</xdr:colOff>
                <xdr:row>0</xdr:row>
                <xdr:rowOff>190500</xdr:rowOff>
              </from>
              <to>
                <xdr:col>3</xdr:col>
                <xdr:colOff>66675</xdr:colOff>
                <xdr:row>0</xdr:row>
                <xdr:rowOff>333375</xdr:rowOff>
              </to>
            </anchor>
          </controlPr>
        </control>
      </mc:Choice>
      <mc:Fallback>
        <control shapeId="2346" r:id="rId6" name="CheckBox39"/>
      </mc:Fallback>
    </mc:AlternateContent>
    <mc:AlternateContent xmlns:mc="http://schemas.openxmlformats.org/markup-compatibility/2006">
      <mc:Choice Requires="x14">
        <control shapeId="2345" r:id="rId8" name="CheckBox38">
          <controlPr locked="0" defaultSize="0" autoLine="0" r:id="rId9">
            <anchor moveWithCells="1" sizeWithCells="1">
              <from>
                <xdr:col>0</xdr:col>
                <xdr:colOff>962025</xdr:colOff>
                <xdr:row>0</xdr:row>
                <xdr:rowOff>180975</xdr:rowOff>
              </from>
              <to>
                <xdr:col>0</xdr:col>
                <xdr:colOff>1114425</xdr:colOff>
                <xdr:row>0</xdr:row>
                <xdr:rowOff>323850</xdr:rowOff>
              </to>
            </anchor>
          </controlPr>
        </control>
      </mc:Choice>
      <mc:Fallback>
        <control shapeId="2345" r:id="rId8" name="CheckBox38"/>
      </mc:Fallback>
    </mc:AlternateContent>
    <mc:AlternateContent xmlns:mc="http://schemas.openxmlformats.org/markup-compatibility/2006">
      <mc:Choice Requires="x14">
        <control shapeId="2344" r:id="rId10" name="CheckBox37">
          <controlPr locked="0" defaultSize="0" autoLine="0" r:id="rId11">
            <anchor moveWithCells="1" sizeWithCells="1">
              <from>
                <xdr:col>0</xdr:col>
                <xdr:colOff>304800</xdr:colOff>
                <xdr:row>0</xdr:row>
                <xdr:rowOff>180975</xdr:rowOff>
              </from>
              <to>
                <xdr:col>0</xdr:col>
                <xdr:colOff>457200</xdr:colOff>
                <xdr:row>0</xdr:row>
                <xdr:rowOff>323850</xdr:rowOff>
              </to>
            </anchor>
          </controlPr>
        </control>
      </mc:Choice>
      <mc:Fallback>
        <control shapeId="2344" r:id="rId10" name="CheckBox37"/>
      </mc:Fallback>
    </mc:AlternateContent>
    <mc:AlternateContent xmlns:mc="http://schemas.openxmlformats.org/markup-compatibility/2006">
      <mc:Choice Requires="x14">
        <control shapeId="2341" r:id="rId12" name="CheckBox36">
          <controlPr locked="0" defaultSize="0" autoLine="0" r:id="rId13">
            <anchor moveWithCells="1" sizeWithCells="1">
              <from>
                <xdr:col>31</xdr:col>
                <xdr:colOff>76200</xdr:colOff>
                <xdr:row>8</xdr:row>
                <xdr:rowOff>9525</xdr:rowOff>
              </from>
              <to>
                <xdr:col>31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41" r:id="rId12" name="CheckBox36"/>
      </mc:Fallback>
    </mc:AlternateContent>
    <mc:AlternateContent xmlns:mc="http://schemas.openxmlformats.org/markup-compatibility/2006">
      <mc:Choice Requires="x14">
        <control shapeId="2340" r:id="rId14" name="CheckBox35">
          <controlPr locked="0" defaultSize="0" autoLine="0" r:id="rId15">
            <anchor moveWithCells="1" sizeWithCells="1">
              <from>
                <xdr:col>30</xdr:col>
                <xdr:colOff>76200</xdr:colOff>
                <xdr:row>8</xdr:row>
                <xdr:rowOff>9525</xdr:rowOff>
              </from>
              <to>
                <xdr:col>30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40" r:id="rId14" name="CheckBox35"/>
      </mc:Fallback>
    </mc:AlternateContent>
    <mc:AlternateContent xmlns:mc="http://schemas.openxmlformats.org/markup-compatibility/2006">
      <mc:Choice Requires="x14">
        <control shapeId="2339" r:id="rId16" name="CheckBox34">
          <controlPr locked="0" defaultSize="0" autoLine="0" r:id="rId17">
            <anchor moveWithCells="1" sizeWithCells="1">
              <from>
                <xdr:col>29</xdr:col>
                <xdr:colOff>76200</xdr:colOff>
                <xdr:row>8</xdr:row>
                <xdr:rowOff>9525</xdr:rowOff>
              </from>
              <to>
                <xdr:col>29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9" r:id="rId16" name="CheckBox34"/>
      </mc:Fallback>
    </mc:AlternateContent>
    <mc:AlternateContent xmlns:mc="http://schemas.openxmlformats.org/markup-compatibility/2006">
      <mc:Choice Requires="x14">
        <control shapeId="2338" r:id="rId18" name="CheckBox33">
          <controlPr locked="0" defaultSize="0" autoLine="0" r:id="rId19">
            <anchor moveWithCells="1" sizeWithCells="1">
              <from>
                <xdr:col>28</xdr:col>
                <xdr:colOff>76200</xdr:colOff>
                <xdr:row>8</xdr:row>
                <xdr:rowOff>9525</xdr:rowOff>
              </from>
              <to>
                <xdr:col>28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8" r:id="rId18" name="CheckBox33"/>
      </mc:Fallback>
    </mc:AlternateContent>
    <mc:AlternateContent xmlns:mc="http://schemas.openxmlformats.org/markup-compatibility/2006">
      <mc:Choice Requires="x14">
        <control shapeId="2337" r:id="rId20" name="CheckBox32">
          <controlPr locked="0" defaultSize="0" autoLine="0" r:id="rId21">
            <anchor moveWithCells="1" sizeWithCells="1">
              <from>
                <xdr:col>27</xdr:col>
                <xdr:colOff>76200</xdr:colOff>
                <xdr:row>8</xdr:row>
                <xdr:rowOff>9525</xdr:rowOff>
              </from>
              <to>
                <xdr:col>27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7" r:id="rId20" name="CheckBox32"/>
      </mc:Fallback>
    </mc:AlternateContent>
    <mc:AlternateContent xmlns:mc="http://schemas.openxmlformats.org/markup-compatibility/2006">
      <mc:Choice Requires="x14">
        <control shapeId="2336" r:id="rId22" name="CheckBox31">
          <controlPr locked="0" defaultSize="0" autoLine="0" r:id="rId23">
            <anchor moveWithCells="1" sizeWithCells="1">
              <from>
                <xdr:col>26</xdr:col>
                <xdr:colOff>76200</xdr:colOff>
                <xdr:row>8</xdr:row>
                <xdr:rowOff>9525</xdr:rowOff>
              </from>
              <to>
                <xdr:col>26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6" r:id="rId22" name="CheckBox31"/>
      </mc:Fallback>
    </mc:AlternateContent>
    <mc:AlternateContent xmlns:mc="http://schemas.openxmlformats.org/markup-compatibility/2006">
      <mc:Choice Requires="x14">
        <control shapeId="2335" r:id="rId24" name="CheckBox30">
          <controlPr locked="0" defaultSize="0" autoLine="0" r:id="rId25">
            <anchor moveWithCells="1" sizeWithCells="1">
              <from>
                <xdr:col>25</xdr:col>
                <xdr:colOff>76200</xdr:colOff>
                <xdr:row>8</xdr:row>
                <xdr:rowOff>9525</xdr:rowOff>
              </from>
              <to>
                <xdr:col>25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5" r:id="rId24" name="CheckBox30"/>
      </mc:Fallback>
    </mc:AlternateContent>
    <mc:AlternateContent xmlns:mc="http://schemas.openxmlformats.org/markup-compatibility/2006">
      <mc:Choice Requires="x14">
        <control shapeId="2334" r:id="rId26" name="CheckBox29">
          <controlPr locked="0" defaultSize="0" autoLine="0" r:id="rId27">
            <anchor moveWithCells="1" sizeWithCells="1">
              <from>
                <xdr:col>24</xdr:col>
                <xdr:colOff>76200</xdr:colOff>
                <xdr:row>8</xdr:row>
                <xdr:rowOff>9525</xdr:rowOff>
              </from>
              <to>
                <xdr:col>24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4" r:id="rId26" name="CheckBox29"/>
      </mc:Fallback>
    </mc:AlternateContent>
    <mc:AlternateContent xmlns:mc="http://schemas.openxmlformats.org/markup-compatibility/2006">
      <mc:Choice Requires="x14">
        <control shapeId="2333" r:id="rId28" name="CheckBox28">
          <controlPr locked="0" defaultSize="0" autoLine="0" r:id="rId29">
            <anchor moveWithCells="1" sizeWithCells="1">
              <from>
                <xdr:col>23</xdr:col>
                <xdr:colOff>76200</xdr:colOff>
                <xdr:row>8</xdr:row>
                <xdr:rowOff>9525</xdr:rowOff>
              </from>
              <to>
                <xdr:col>23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3" r:id="rId28" name="CheckBox28"/>
      </mc:Fallback>
    </mc:AlternateContent>
    <mc:AlternateContent xmlns:mc="http://schemas.openxmlformats.org/markup-compatibility/2006">
      <mc:Choice Requires="x14">
        <control shapeId="2332" r:id="rId30" name="CheckBox27">
          <controlPr locked="0" defaultSize="0" autoLine="0" r:id="rId31">
            <anchor moveWithCells="1" sizeWithCells="1">
              <from>
                <xdr:col>22</xdr:col>
                <xdr:colOff>76200</xdr:colOff>
                <xdr:row>8</xdr:row>
                <xdr:rowOff>9525</xdr:rowOff>
              </from>
              <to>
                <xdr:col>22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2" r:id="rId30" name="CheckBox27"/>
      </mc:Fallback>
    </mc:AlternateContent>
    <mc:AlternateContent xmlns:mc="http://schemas.openxmlformats.org/markup-compatibility/2006">
      <mc:Choice Requires="x14">
        <control shapeId="2330" r:id="rId32" name="CheckBox26">
          <controlPr locked="0" defaultSize="0" autoLine="0" r:id="rId33">
            <anchor moveWithCells="1" sizeWithCells="1">
              <from>
                <xdr:col>21</xdr:col>
                <xdr:colOff>76200</xdr:colOff>
                <xdr:row>8</xdr:row>
                <xdr:rowOff>9525</xdr:rowOff>
              </from>
              <to>
                <xdr:col>21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30" r:id="rId32" name="CheckBox26"/>
      </mc:Fallback>
    </mc:AlternateContent>
    <mc:AlternateContent xmlns:mc="http://schemas.openxmlformats.org/markup-compatibility/2006">
      <mc:Choice Requires="x14">
        <control shapeId="2329" r:id="rId34" name="CheckBox25">
          <controlPr locked="0" defaultSize="0" autoLine="0" r:id="rId35">
            <anchor moveWithCells="1" sizeWithCells="1">
              <from>
                <xdr:col>20</xdr:col>
                <xdr:colOff>76200</xdr:colOff>
                <xdr:row>8</xdr:row>
                <xdr:rowOff>9525</xdr:rowOff>
              </from>
              <to>
                <xdr:col>20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9" r:id="rId34" name="CheckBox25"/>
      </mc:Fallback>
    </mc:AlternateContent>
    <mc:AlternateContent xmlns:mc="http://schemas.openxmlformats.org/markup-compatibility/2006">
      <mc:Choice Requires="x14">
        <control shapeId="2328" r:id="rId36" name="CheckBox24">
          <controlPr locked="0" defaultSize="0" autoLine="0" r:id="rId37">
            <anchor moveWithCells="1" sizeWithCells="1">
              <from>
                <xdr:col>19</xdr:col>
                <xdr:colOff>76200</xdr:colOff>
                <xdr:row>8</xdr:row>
                <xdr:rowOff>9525</xdr:rowOff>
              </from>
              <to>
                <xdr:col>19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8" r:id="rId36" name="CheckBox24"/>
      </mc:Fallback>
    </mc:AlternateContent>
    <mc:AlternateContent xmlns:mc="http://schemas.openxmlformats.org/markup-compatibility/2006">
      <mc:Choice Requires="x14">
        <control shapeId="2327" r:id="rId38" name="CheckBox23">
          <controlPr locked="0" defaultSize="0" autoLine="0" r:id="rId39">
            <anchor moveWithCells="1" sizeWithCells="1">
              <from>
                <xdr:col>18</xdr:col>
                <xdr:colOff>76200</xdr:colOff>
                <xdr:row>8</xdr:row>
                <xdr:rowOff>9525</xdr:rowOff>
              </from>
              <to>
                <xdr:col>18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7" r:id="rId38" name="CheckBox23"/>
      </mc:Fallback>
    </mc:AlternateContent>
    <mc:AlternateContent xmlns:mc="http://schemas.openxmlformats.org/markup-compatibility/2006">
      <mc:Choice Requires="x14">
        <control shapeId="2326" r:id="rId40" name="CheckBox22">
          <controlPr locked="0" defaultSize="0" autoLine="0" r:id="rId41">
            <anchor moveWithCells="1" sizeWithCells="1">
              <from>
                <xdr:col>17</xdr:col>
                <xdr:colOff>76200</xdr:colOff>
                <xdr:row>8</xdr:row>
                <xdr:rowOff>9525</xdr:rowOff>
              </from>
              <to>
                <xdr:col>17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6" r:id="rId40" name="CheckBox22"/>
      </mc:Fallback>
    </mc:AlternateContent>
    <mc:AlternateContent xmlns:mc="http://schemas.openxmlformats.org/markup-compatibility/2006">
      <mc:Choice Requires="x14">
        <control shapeId="2325" r:id="rId42" name="CheckBox21">
          <controlPr locked="0" defaultSize="0" autoLine="0" r:id="rId43">
            <anchor moveWithCells="1" sizeWithCells="1">
              <from>
                <xdr:col>16</xdr:col>
                <xdr:colOff>76200</xdr:colOff>
                <xdr:row>8</xdr:row>
                <xdr:rowOff>9525</xdr:rowOff>
              </from>
              <to>
                <xdr:col>16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5" r:id="rId42" name="CheckBox21"/>
      </mc:Fallback>
    </mc:AlternateContent>
    <mc:AlternateContent xmlns:mc="http://schemas.openxmlformats.org/markup-compatibility/2006">
      <mc:Choice Requires="x14">
        <control shapeId="2324" r:id="rId44" name="CheckBox20">
          <controlPr locked="0" defaultSize="0" autoLine="0" r:id="rId45">
            <anchor moveWithCells="1" sizeWithCells="1">
              <from>
                <xdr:col>15</xdr:col>
                <xdr:colOff>76200</xdr:colOff>
                <xdr:row>8</xdr:row>
                <xdr:rowOff>9525</xdr:rowOff>
              </from>
              <to>
                <xdr:col>15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4" r:id="rId44" name="CheckBox20"/>
      </mc:Fallback>
    </mc:AlternateContent>
    <mc:AlternateContent xmlns:mc="http://schemas.openxmlformats.org/markup-compatibility/2006">
      <mc:Choice Requires="x14">
        <control shapeId="2322" r:id="rId46" name="CheckBox19">
          <controlPr locked="0" defaultSize="0" autoLine="0" r:id="rId47">
            <anchor moveWithCells="1" sizeWithCells="1">
              <from>
                <xdr:col>14</xdr:col>
                <xdr:colOff>76200</xdr:colOff>
                <xdr:row>8</xdr:row>
                <xdr:rowOff>9525</xdr:rowOff>
              </from>
              <to>
                <xdr:col>14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2" r:id="rId46" name="CheckBox19"/>
      </mc:Fallback>
    </mc:AlternateContent>
    <mc:AlternateContent xmlns:mc="http://schemas.openxmlformats.org/markup-compatibility/2006">
      <mc:Choice Requires="x14">
        <control shapeId="2320" r:id="rId48" name="CheckBox18">
          <controlPr locked="0" defaultSize="0" autoLine="0" r:id="rId49">
            <anchor moveWithCells="1" sizeWithCells="1">
              <from>
                <xdr:col>13</xdr:col>
                <xdr:colOff>76200</xdr:colOff>
                <xdr:row>8</xdr:row>
                <xdr:rowOff>9525</xdr:rowOff>
              </from>
              <to>
                <xdr:col>13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20" r:id="rId48" name="CheckBox18"/>
      </mc:Fallback>
    </mc:AlternateContent>
    <mc:AlternateContent xmlns:mc="http://schemas.openxmlformats.org/markup-compatibility/2006">
      <mc:Choice Requires="x14">
        <control shapeId="2319" r:id="rId50" name="CheckBox17">
          <controlPr locked="0" defaultSize="0" autoLine="0" r:id="rId51">
            <anchor moveWithCells="1" sizeWithCells="1">
              <from>
                <xdr:col>12</xdr:col>
                <xdr:colOff>76200</xdr:colOff>
                <xdr:row>8</xdr:row>
                <xdr:rowOff>9525</xdr:rowOff>
              </from>
              <to>
                <xdr:col>12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9" r:id="rId50" name="CheckBox17"/>
      </mc:Fallback>
    </mc:AlternateContent>
    <mc:AlternateContent xmlns:mc="http://schemas.openxmlformats.org/markup-compatibility/2006">
      <mc:Choice Requires="x14">
        <control shapeId="2318" r:id="rId52" name="CheckBox16">
          <controlPr locked="0" defaultSize="0" autoLine="0" r:id="rId53">
            <anchor moveWithCells="1" sizeWithCells="1">
              <from>
                <xdr:col>11</xdr:col>
                <xdr:colOff>76200</xdr:colOff>
                <xdr:row>8</xdr:row>
                <xdr:rowOff>9525</xdr:rowOff>
              </from>
              <to>
                <xdr:col>11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8" r:id="rId52" name="CheckBox16"/>
      </mc:Fallback>
    </mc:AlternateContent>
    <mc:AlternateContent xmlns:mc="http://schemas.openxmlformats.org/markup-compatibility/2006">
      <mc:Choice Requires="x14">
        <control shapeId="2316" r:id="rId54" name="CheckBox15">
          <controlPr locked="0" defaultSize="0" autoLine="0" r:id="rId55">
            <anchor moveWithCells="1" sizeWithCells="1">
              <from>
                <xdr:col>10</xdr:col>
                <xdr:colOff>76200</xdr:colOff>
                <xdr:row>8</xdr:row>
                <xdr:rowOff>9525</xdr:rowOff>
              </from>
              <to>
                <xdr:col>10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6" r:id="rId54" name="CheckBox15"/>
      </mc:Fallback>
    </mc:AlternateContent>
    <mc:AlternateContent xmlns:mc="http://schemas.openxmlformats.org/markup-compatibility/2006">
      <mc:Choice Requires="x14">
        <control shapeId="2315" r:id="rId56" name="CheckBox14">
          <controlPr locked="0" defaultSize="0" autoLine="0" r:id="rId57">
            <anchor moveWithCells="1" sizeWithCells="1">
              <from>
                <xdr:col>9</xdr:col>
                <xdr:colOff>76200</xdr:colOff>
                <xdr:row>8</xdr:row>
                <xdr:rowOff>9525</xdr:rowOff>
              </from>
              <to>
                <xdr:col>9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5" r:id="rId56" name="CheckBox14"/>
      </mc:Fallback>
    </mc:AlternateContent>
    <mc:AlternateContent xmlns:mc="http://schemas.openxmlformats.org/markup-compatibility/2006">
      <mc:Choice Requires="x14">
        <control shapeId="2314" r:id="rId58" name="CheckBox13">
          <controlPr locked="0" defaultSize="0" autoLine="0" r:id="rId59">
            <anchor moveWithCells="1" sizeWithCells="1">
              <from>
                <xdr:col>8</xdr:col>
                <xdr:colOff>76200</xdr:colOff>
                <xdr:row>8</xdr:row>
                <xdr:rowOff>9525</xdr:rowOff>
              </from>
              <to>
                <xdr:col>8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4" r:id="rId58" name="CheckBox13"/>
      </mc:Fallback>
    </mc:AlternateContent>
    <mc:AlternateContent xmlns:mc="http://schemas.openxmlformats.org/markup-compatibility/2006">
      <mc:Choice Requires="x14">
        <control shapeId="2313" r:id="rId60" name="CheckBox12">
          <controlPr locked="0" defaultSize="0" autoLine="0" r:id="rId61">
            <anchor moveWithCells="1" sizeWithCells="1">
              <from>
                <xdr:col>7</xdr:col>
                <xdr:colOff>76200</xdr:colOff>
                <xdr:row>8</xdr:row>
                <xdr:rowOff>9525</xdr:rowOff>
              </from>
              <to>
                <xdr:col>7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3" r:id="rId60" name="CheckBox12"/>
      </mc:Fallback>
    </mc:AlternateContent>
    <mc:AlternateContent xmlns:mc="http://schemas.openxmlformats.org/markup-compatibility/2006">
      <mc:Choice Requires="x14">
        <control shapeId="2312" r:id="rId62" name="CheckBox11">
          <controlPr locked="0" defaultSize="0" autoLine="0" r:id="rId63">
            <anchor moveWithCells="1" sizeWithCells="1">
              <from>
                <xdr:col>6</xdr:col>
                <xdr:colOff>76200</xdr:colOff>
                <xdr:row>8</xdr:row>
                <xdr:rowOff>9525</xdr:rowOff>
              </from>
              <to>
                <xdr:col>6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2" r:id="rId62" name="CheckBox11"/>
      </mc:Fallback>
    </mc:AlternateContent>
    <mc:AlternateContent xmlns:mc="http://schemas.openxmlformats.org/markup-compatibility/2006">
      <mc:Choice Requires="x14">
        <control shapeId="2311" r:id="rId64" name="CheckBox10">
          <controlPr locked="0" defaultSize="0" autoLine="0" r:id="rId65">
            <anchor moveWithCells="1" sizeWithCells="1">
              <from>
                <xdr:col>5</xdr:col>
                <xdr:colOff>76200</xdr:colOff>
                <xdr:row>8</xdr:row>
                <xdr:rowOff>9525</xdr:rowOff>
              </from>
              <to>
                <xdr:col>5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1" r:id="rId64" name="CheckBox10"/>
      </mc:Fallback>
    </mc:AlternateContent>
    <mc:AlternateContent xmlns:mc="http://schemas.openxmlformats.org/markup-compatibility/2006">
      <mc:Choice Requires="x14">
        <control shapeId="2310" r:id="rId66" name="CheckBox9">
          <controlPr locked="0" defaultSize="0" autoLine="0" r:id="rId67">
            <anchor moveWithCells="1" sizeWithCells="1">
              <from>
                <xdr:col>4</xdr:col>
                <xdr:colOff>76200</xdr:colOff>
                <xdr:row>8</xdr:row>
                <xdr:rowOff>9525</xdr:rowOff>
              </from>
              <to>
                <xdr:col>4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10" r:id="rId66" name="CheckBox9"/>
      </mc:Fallback>
    </mc:AlternateContent>
    <mc:AlternateContent xmlns:mc="http://schemas.openxmlformats.org/markup-compatibility/2006">
      <mc:Choice Requires="x14">
        <control shapeId="2309" r:id="rId68" name="CheckBox8">
          <controlPr locked="0" defaultSize="0" autoLine="0" r:id="rId69">
            <anchor moveWithCells="1" sizeWithCells="1">
              <from>
                <xdr:col>3</xdr:col>
                <xdr:colOff>76200</xdr:colOff>
                <xdr:row>8</xdr:row>
                <xdr:rowOff>9525</xdr:rowOff>
              </from>
              <to>
                <xdr:col>3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09" r:id="rId68" name="CheckBox8"/>
      </mc:Fallback>
    </mc:AlternateContent>
    <mc:AlternateContent xmlns:mc="http://schemas.openxmlformats.org/markup-compatibility/2006">
      <mc:Choice Requires="x14">
        <control shapeId="2308" r:id="rId70" name="CheckBox7">
          <controlPr locked="0" defaultSize="0" autoLine="0" r:id="rId71">
            <anchor moveWithCells="1" sizeWithCells="1">
              <from>
                <xdr:col>2</xdr:col>
                <xdr:colOff>76200</xdr:colOff>
                <xdr:row>8</xdr:row>
                <xdr:rowOff>9525</xdr:rowOff>
              </from>
              <to>
                <xdr:col>2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08" r:id="rId70" name="CheckBox7"/>
      </mc:Fallback>
    </mc:AlternateContent>
    <mc:AlternateContent xmlns:mc="http://schemas.openxmlformats.org/markup-compatibility/2006">
      <mc:Choice Requires="x14">
        <control shapeId="2053" r:id="rId72" name="CheckBox5">
          <controlPr locked="0" defaultSize="0" autoLine="0" r:id="rId73">
            <anchor moveWithCells="1" sizeWithCells="1">
              <from>
                <xdr:col>7</xdr:col>
                <xdr:colOff>85725</xdr:colOff>
                <xdr:row>1</xdr:row>
                <xdr:rowOff>47625</xdr:rowOff>
              </from>
              <to>
                <xdr:col>7</xdr:col>
                <xdr:colOff>238125</xdr:colOff>
                <xdr:row>1</xdr:row>
                <xdr:rowOff>190500</xdr:rowOff>
              </to>
            </anchor>
          </controlPr>
        </control>
      </mc:Choice>
      <mc:Fallback>
        <control shapeId="2053" r:id="rId72" name="CheckBox5"/>
      </mc:Fallback>
    </mc:AlternateContent>
    <mc:AlternateContent xmlns:mc="http://schemas.openxmlformats.org/markup-compatibility/2006">
      <mc:Choice Requires="x14">
        <control shapeId="2052" r:id="rId74" name="CheckBox4">
          <controlPr locked="0" defaultSize="0" autoLine="0" r:id="rId75">
            <anchor moveWithCells="1" sizeWithCells="1">
              <from>
                <xdr:col>4</xdr:col>
                <xdr:colOff>66675</xdr:colOff>
                <xdr:row>1</xdr:row>
                <xdr:rowOff>57150</xdr:rowOff>
              </from>
              <to>
                <xdr:col>4</xdr:col>
                <xdr:colOff>219075</xdr:colOff>
                <xdr:row>2</xdr:row>
                <xdr:rowOff>0</xdr:rowOff>
              </to>
            </anchor>
          </controlPr>
        </control>
      </mc:Choice>
      <mc:Fallback>
        <control shapeId="2052" r:id="rId74" name="CheckBox4"/>
      </mc:Fallback>
    </mc:AlternateContent>
    <mc:AlternateContent xmlns:mc="http://schemas.openxmlformats.org/markup-compatibility/2006">
      <mc:Choice Requires="x14">
        <control shapeId="2051" r:id="rId76" name="CheckBox3">
          <controlPr locked="0" defaultSize="0" autoLine="0" r:id="rId77">
            <anchor moveWithCells="1" sizeWithCells="1">
              <from>
                <xdr:col>1</xdr:col>
                <xdr:colOff>114300</xdr:colOff>
                <xdr:row>1</xdr:row>
                <xdr:rowOff>47625</xdr:rowOff>
              </from>
              <to>
                <xdr:col>1</xdr:col>
                <xdr:colOff>266700</xdr:colOff>
                <xdr:row>1</xdr:row>
                <xdr:rowOff>190500</xdr:rowOff>
              </to>
            </anchor>
          </controlPr>
        </control>
      </mc:Choice>
      <mc:Fallback>
        <control shapeId="2051" r:id="rId76" name="CheckBox3"/>
      </mc:Fallback>
    </mc:AlternateContent>
    <mc:AlternateContent xmlns:mc="http://schemas.openxmlformats.org/markup-compatibility/2006">
      <mc:Choice Requires="x14">
        <control shapeId="2050" r:id="rId78" name="CheckBox2">
          <controlPr locked="0" defaultSize="0" autoLine="0" r:id="rId79">
            <anchor moveWithCells="1" sizeWithCells="1">
              <from>
                <xdr:col>0</xdr:col>
                <xdr:colOff>847725</xdr:colOff>
                <xdr:row>1</xdr:row>
                <xdr:rowOff>47625</xdr:rowOff>
              </from>
              <to>
                <xdr:col>0</xdr:col>
                <xdr:colOff>1000125</xdr:colOff>
                <xdr:row>1</xdr:row>
                <xdr:rowOff>190500</xdr:rowOff>
              </to>
            </anchor>
          </controlPr>
        </control>
      </mc:Choice>
      <mc:Fallback>
        <control shapeId="2050" r:id="rId78" name="CheckBox2"/>
      </mc:Fallback>
    </mc:AlternateContent>
    <mc:AlternateContent xmlns:mc="http://schemas.openxmlformats.org/markup-compatibility/2006">
      <mc:Choice Requires="x14">
        <control shapeId="2049" r:id="rId80" name="CheckBox1">
          <controlPr locked="0" defaultSize="0" autoLine="0" r:id="rId81">
            <anchor moveWithCells="1" sizeWithCells="1">
              <from>
                <xdr:col>0</xdr:col>
                <xdr:colOff>66675</xdr:colOff>
                <xdr:row>1</xdr:row>
                <xdr:rowOff>57150</xdr:rowOff>
              </from>
              <to>
                <xdr:col>0</xdr:col>
                <xdr:colOff>219075</xdr:colOff>
                <xdr:row>2</xdr:row>
                <xdr:rowOff>0</xdr:rowOff>
              </to>
            </anchor>
          </controlPr>
        </control>
      </mc:Choice>
      <mc:Fallback>
        <control shapeId="2049" r:id="rId80" name="CheckBox1"/>
      </mc:Fallback>
    </mc:AlternateContent>
    <mc:AlternateContent xmlns:mc="http://schemas.openxmlformats.org/markup-compatibility/2006">
      <mc:Choice Requires="x14">
        <control shapeId="2300" r:id="rId82" name="CheckBox6">
          <controlPr locked="0" defaultSize="0" autoLine="0" r:id="rId83">
            <anchor moveWithCells="1" sizeWithCells="1">
              <from>
                <xdr:col>1</xdr:col>
                <xdr:colOff>76200</xdr:colOff>
                <xdr:row>8</xdr:row>
                <xdr:rowOff>9525</xdr:rowOff>
              </from>
              <to>
                <xdr:col>1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300" r:id="rId82" name="CheckBox6"/>
      </mc:Fallback>
    </mc:AlternateContent>
    <mc:AlternateContent xmlns:mc="http://schemas.openxmlformats.org/markup-compatibility/2006">
      <mc:Choice Requires="x14">
        <control shapeId="2058" r:id="rId84" name="Label 10">
          <controlPr defaultSize="0" autoFill="0" autoLine="0" autoPict="0" macro="[0]!Protect_InitialsB1">
            <anchor moveWithCells="1">
              <from>
                <xdr:col>1</xdr:col>
                <xdr:colOff>9525</xdr:colOff>
                <xdr:row>29</xdr:row>
                <xdr:rowOff>9525</xdr:rowOff>
              </from>
              <to>
                <xdr:col>1</xdr:col>
                <xdr:colOff>295275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85" name="Label 12">
          <controlPr defaultSize="0" autoFill="0" autoLine="0" autoPict="0" macro="[0]!Protect_InitialsG2">
            <anchor moveWithCells="1">
              <from>
                <xdr:col>6</xdr:col>
                <xdr:colOff>0</xdr:colOff>
                <xdr:row>30</xdr:row>
                <xdr:rowOff>9525</xdr:rowOff>
              </from>
              <to>
                <xdr:col>7</xdr:col>
                <xdr:colOff>0</xdr:colOff>
                <xdr:row>30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86" name="Label 13">
          <controlPr defaultSize="0" autoFill="0" autoLine="0" autoPict="0" macro="[0]!Protect_InitialsC1">
            <anchor moveWithCells="1">
              <from>
                <xdr:col>2</xdr:col>
                <xdr:colOff>0</xdr:colOff>
                <xdr:row>29</xdr:row>
                <xdr:rowOff>9525</xdr:rowOff>
              </from>
              <to>
                <xdr:col>3</xdr:col>
                <xdr:colOff>9525</xdr:colOff>
                <xdr:row>29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87" name="Label 14">
          <controlPr defaultSize="0" autoFill="0" autoLine="0" autoPict="0" macro="[0]!Protect_InitialsC2">
            <anchor moveWithCells="1" sizeWithCells="1">
              <from>
                <xdr:col>1</xdr:col>
                <xdr:colOff>276225</xdr:colOff>
                <xdr:row>30</xdr:row>
                <xdr:rowOff>9525</xdr:rowOff>
              </from>
              <to>
                <xdr:col>2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88" name="Label 15">
          <controlPr defaultSize="0" autoFill="0" autoLine="0" autoPict="0" macro="[0]!Protect_InitialsD1">
            <anchor moveWithCells="1" sizeWithCells="1">
              <from>
                <xdr:col>2</xdr:col>
                <xdr:colOff>276225</xdr:colOff>
                <xdr:row>29</xdr:row>
                <xdr:rowOff>0</xdr:rowOff>
              </from>
              <to>
                <xdr:col>3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89" name="Label 16">
          <controlPr defaultSize="0" autoFill="0" autoLine="0" autoPict="0" macro="[0]!Protect_InitialsD2">
            <anchor moveWithCells="1" sizeWithCells="1">
              <from>
                <xdr:col>2</xdr:col>
                <xdr:colOff>276225</xdr:colOff>
                <xdr:row>30</xdr:row>
                <xdr:rowOff>9525</xdr:rowOff>
              </from>
              <to>
                <xdr:col>3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90" name="Label 17">
          <controlPr defaultSize="0" autoFill="0" autoLine="0" autoPict="0" macro="[0]!Protect_InitialsE1">
            <anchor moveWithCells="1" sizeWithCells="1">
              <from>
                <xdr:col>3</xdr:col>
                <xdr:colOff>276225</xdr:colOff>
                <xdr:row>29</xdr:row>
                <xdr:rowOff>0</xdr:rowOff>
              </from>
              <to>
                <xdr:col>4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7" r:id="rId91" name="Label 79">
          <controlPr defaultSize="0" autoFill="0" autoLine="0" autoPict="0" macro="[0]!Protect_InitialsF1">
            <anchor moveWithCells="1" sizeWithCells="1">
              <from>
                <xdr:col>4</xdr:col>
                <xdr:colOff>276225</xdr:colOff>
                <xdr:row>29</xdr:row>
                <xdr:rowOff>0</xdr:rowOff>
              </from>
              <to>
                <xdr:col>5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1" r:id="rId92" name="Label 83">
          <controlPr defaultSize="0" autoFill="0" autoLine="0" autoPict="0" macro="[0]!Protect_InitialsG1">
            <anchor moveWithCells="1" sizeWithCells="1">
              <from>
                <xdr:col>5</xdr:col>
                <xdr:colOff>276225</xdr:colOff>
                <xdr:row>29</xdr:row>
                <xdr:rowOff>0</xdr:rowOff>
              </from>
              <to>
                <xdr:col>6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3" r:id="rId93" name="Label 85">
          <controlPr defaultSize="0" autoFill="0" autoLine="0" autoPict="0" macro="[0]!Protect_InitialsH1">
            <anchor moveWithCells="1" sizeWithCells="1">
              <from>
                <xdr:col>6</xdr:col>
                <xdr:colOff>276225</xdr:colOff>
                <xdr:row>29</xdr:row>
                <xdr:rowOff>0</xdr:rowOff>
              </from>
              <to>
                <xdr:col>7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5" r:id="rId94" name="Label 87">
          <controlPr defaultSize="0" autoFill="0" autoLine="0" autoPict="0" macro="[0]!Protect_InitialsI1">
            <anchor moveWithCells="1" sizeWithCells="1">
              <from>
                <xdr:col>8</xdr:col>
                <xdr:colOff>0</xdr:colOff>
                <xdr:row>29</xdr:row>
                <xdr:rowOff>0</xdr:rowOff>
              </from>
              <to>
                <xdr:col>9</xdr:col>
                <xdr:colOff>0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7" r:id="rId95" name="Label 89">
          <controlPr defaultSize="0" autoFill="0" autoLine="0" autoPict="0" macro="[0]!Protect_InitialsJ1">
            <anchor moveWithCells="1" sizeWithCells="1">
              <from>
                <xdr:col>8</xdr:col>
                <xdr:colOff>276225</xdr:colOff>
                <xdr:row>29</xdr:row>
                <xdr:rowOff>0</xdr:rowOff>
              </from>
              <to>
                <xdr:col>9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9" r:id="rId96" name="Label 91">
          <controlPr defaultSize="0" autoFill="0" autoLine="0" autoPict="0" macro="[0]!Protect_InitialsK1">
            <anchor moveWithCells="1" sizeWithCells="1">
              <from>
                <xdr:col>9</xdr:col>
                <xdr:colOff>276225</xdr:colOff>
                <xdr:row>29</xdr:row>
                <xdr:rowOff>0</xdr:rowOff>
              </from>
              <to>
                <xdr:col>10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1" r:id="rId97" name="Label 93">
          <controlPr defaultSize="0" autoFill="0" autoLine="0" autoPict="0" macro="[0]!Protect_InitialsL1">
            <anchor moveWithCells="1" sizeWithCells="1">
              <from>
                <xdr:col>10</xdr:col>
                <xdr:colOff>276225</xdr:colOff>
                <xdr:row>29</xdr:row>
                <xdr:rowOff>0</xdr:rowOff>
              </from>
              <to>
                <xdr:col>11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3" r:id="rId98" name="Label 95">
          <controlPr defaultSize="0" autoFill="0" autoLine="0" autoPict="0" macro="[0]!Protect_InitialsM1">
            <anchor moveWithCells="1" sizeWithCells="1">
              <from>
                <xdr:col>11</xdr:col>
                <xdr:colOff>276225</xdr:colOff>
                <xdr:row>29</xdr:row>
                <xdr:rowOff>0</xdr:rowOff>
              </from>
              <to>
                <xdr:col>12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5" r:id="rId99" name="Label 97">
          <controlPr defaultSize="0" autoFill="0" autoLine="0" autoPict="0" macro="[0]!Protect_InitialsN1">
            <anchor moveWithCells="1" sizeWithCells="1">
              <from>
                <xdr:col>12</xdr:col>
                <xdr:colOff>276225</xdr:colOff>
                <xdr:row>29</xdr:row>
                <xdr:rowOff>0</xdr:rowOff>
              </from>
              <to>
                <xdr:col>13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7" r:id="rId100" name="Label 99">
          <controlPr defaultSize="0" autoFill="0" autoLine="0" autoPict="0" macro="[0]!Protect_InitialsO1">
            <anchor moveWithCells="1" sizeWithCells="1">
              <from>
                <xdr:col>13</xdr:col>
                <xdr:colOff>276225</xdr:colOff>
                <xdr:row>29</xdr:row>
                <xdr:rowOff>0</xdr:rowOff>
              </from>
              <to>
                <xdr:col>14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9" r:id="rId101" name="Label 101">
          <controlPr defaultSize="0" autoFill="0" autoLine="0" autoPict="0" macro="[0]!Protect_InitialsP1">
            <anchor moveWithCells="1" sizeWithCells="1">
              <from>
                <xdr:col>14</xdr:col>
                <xdr:colOff>276225</xdr:colOff>
                <xdr:row>29</xdr:row>
                <xdr:rowOff>0</xdr:rowOff>
              </from>
              <to>
                <xdr:col>15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" r:id="rId102" name="Label 103">
          <controlPr defaultSize="0" autoFill="0" autoLine="0" autoPict="0" macro="[0]!Protect_InitialsQ1">
            <anchor moveWithCells="1" sizeWithCells="1">
              <from>
                <xdr:col>15</xdr:col>
                <xdr:colOff>276225</xdr:colOff>
                <xdr:row>29</xdr:row>
                <xdr:rowOff>0</xdr:rowOff>
              </from>
              <to>
                <xdr:col>16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3" r:id="rId103" name="Label 105">
          <controlPr defaultSize="0" autoFill="0" autoLine="0" autoPict="0" macro="[0]!Protect_InitialsR1">
            <anchor moveWithCells="1" sizeWithCells="1">
              <from>
                <xdr:col>16</xdr:col>
                <xdr:colOff>276225</xdr:colOff>
                <xdr:row>29</xdr:row>
                <xdr:rowOff>0</xdr:rowOff>
              </from>
              <to>
                <xdr:col>17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5" r:id="rId104" name="Label 107">
          <controlPr defaultSize="0" autoFill="0" autoLine="0" autoPict="0" macro="[0]!Protect_InitialsS1">
            <anchor moveWithCells="1" sizeWithCells="1">
              <from>
                <xdr:col>17</xdr:col>
                <xdr:colOff>276225</xdr:colOff>
                <xdr:row>29</xdr:row>
                <xdr:rowOff>0</xdr:rowOff>
              </from>
              <to>
                <xdr:col>18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7" r:id="rId105" name="Label 109">
          <controlPr defaultSize="0" autoFill="0" autoLine="0" autoPict="0" macro="[0]!Protect_InitialsT1">
            <anchor moveWithCells="1" sizeWithCells="1">
              <from>
                <xdr:col>18</xdr:col>
                <xdr:colOff>276225</xdr:colOff>
                <xdr:row>29</xdr:row>
                <xdr:rowOff>0</xdr:rowOff>
              </from>
              <to>
                <xdr:col>19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9" r:id="rId106" name="Label 111">
          <controlPr defaultSize="0" autoFill="0" autoLine="0" autoPict="0" macro="[0]!Protect_InitialsU1">
            <anchor moveWithCells="1" sizeWithCells="1">
              <from>
                <xdr:col>19</xdr:col>
                <xdr:colOff>276225</xdr:colOff>
                <xdr:row>29</xdr:row>
                <xdr:rowOff>0</xdr:rowOff>
              </from>
              <to>
                <xdr:col>20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2" r:id="rId107" name="Label 114">
          <controlPr defaultSize="0" autoFill="0" autoLine="0" autoPict="0" macro="[0]!Protect_InitialsV1">
            <anchor moveWithCells="1" sizeWithCells="1">
              <from>
                <xdr:col>20</xdr:col>
                <xdr:colOff>276225</xdr:colOff>
                <xdr:row>29</xdr:row>
                <xdr:rowOff>0</xdr:rowOff>
              </from>
              <to>
                <xdr:col>21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4" r:id="rId108" name="Label 116">
          <controlPr defaultSize="0" autoFill="0" autoLine="0" autoPict="0" macro="[0]!Protect_InitialsW1">
            <anchor moveWithCells="1" sizeWithCells="1">
              <from>
                <xdr:col>21</xdr:col>
                <xdr:colOff>276225</xdr:colOff>
                <xdr:row>29</xdr:row>
                <xdr:rowOff>0</xdr:rowOff>
              </from>
              <to>
                <xdr:col>22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6" r:id="rId109" name="Label 118">
          <controlPr defaultSize="0" autoFill="0" autoLine="0" autoPict="0" macro="[0]!Protect_InitialsX1">
            <anchor moveWithCells="1" sizeWithCells="1">
              <from>
                <xdr:col>22</xdr:col>
                <xdr:colOff>276225</xdr:colOff>
                <xdr:row>29</xdr:row>
                <xdr:rowOff>0</xdr:rowOff>
              </from>
              <to>
                <xdr:col>23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8" r:id="rId110" name="Label 120">
          <controlPr defaultSize="0" autoFill="0" autoLine="0" autoPict="0" macro="[0]!Protect_InitialsY1">
            <anchor moveWithCells="1" sizeWithCells="1">
              <from>
                <xdr:col>23</xdr:col>
                <xdr:colOff>276225</xdr:colOff>
                <xdr:row>29</xdr:row>
                <xdr:rowOff>0</xdr:rowOff>
              </from>
              <to>
                <xdr:col>24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0" r:id="rId111" name="Label 122">
          <controlPr defaultSize="0" autoFill="0" autoLine="0" autoPict="0" macro="[0]!Protect_InitialsZ1">
            <anchor moveWithCells="1" sizeWithCells="1">
              <from>
                <xdr:col>24</xdr:col>
                <xdr:colOff>276225</xdr:colOff>
                <xdr:row>29</xdr:row>
                <xdr:rowOff>0</xdr:rowOff>
              </from>
              <to>
                <xdr:col>25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2" r:id="rId112" name="Label 124">
          <controlPr defaultSize="0" autoFill="0" autoLine="0" autoPict="0" macro="[0]!Protect_InitialsAA1">
            <anchor moveWithCells="1" sizeWithCells="1">
              <from>
                <xdr:col>25</xdr:col>
                <xdr:colOff>276225</xdr:colOff>
                <xdr:row>29</xdr:row>
                <xdr:rowOff>0</xdr:rowOff>
              </from>
              <to>
                <xdr:col>26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4" r:id="rId113" name="Label 126">
          <controlPr defaultSize="0" autoFill="0" autoLine="0" autoPict="0" macro="[0]!Protect_InitialsAB1">
            <anchor moveWithCells="1" sizeWithCells="1">
              <from>
                <xdr:col>26</xdr:col>
                <xdr:colOff>276225</xdr:colOff>
                <xdr:row>29</xdr:row>
                <xdr:rowOff>0</xdr:rowOff>
              </from>
              <to>
                <xdr:col>27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6" r:id="rId114" name="Label 128">
          <controlPr defaultSize="0" autoFill="0" autoLine="0" autoPict="0" macro="[0]!Protect_InitialsAC1">
            <anchor moveWithCells="1" sizeWithCells="1">
              <from>
                <xdr:col>27</xdr:col>
                <xdr:colOff>276225</xdr:colOff>
                <xdr:row>29</xdr:row>
                <xdr:rowOff>0</xdr:rowOff>
              </from>
              <to>
                <xdr:col>28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8" r:id="rId115" name="Label 130">
          <controlPr defaultSize="0" autoFill="0" autoLine="0" autoPict="0" macro="[0]!Protect_InitialsAD1">
            <anchor moveWithCells="1" sizeWithCells="1">
              <from>
                <xdr:col>28</xdr:col>
                <xdr:colOff>276225</xdr:colOff>
                <xdr:row>29</xdr:row>
                <xdr:rowOff>0</xdr:rowOff>
              </from>
              <to>
                <xdr:col>29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0" r:id="rId116" name="Label 132">
          <controlPr defaultSize="0" autoFill="0" autoLine="0" autoPict="0" macro="[0]!Protect_InitialsAE1">
            <anchor moveWithCells="1" sizeWithCells="1">
              <from>
                <xdr:col>29</xdr:col>
                <xdr:colOff>276225</xdr:colOff>
                <xdr:row>29</xdr:row>
                <xdr:rowOff>0</xdr:rowOff>
              </from>
              <to>
                <xdr:col>30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2" r:id="rId117" name="Label 134">
          <controlPr defaultSize="0" autoFill="0" autoLine="0" autoPict="0" macro="[0]!Protect_InitialsAF1">
            <anchor moveWithCells="1" sizeWithCells="1">
              <from>
                <xdr:col>30</xdr:col>
                <xdr:colOff>276225</xdr:colOff>
                <xdr:row>29</xdr:row>
                <xdr:rowOff>0</xdr:rowOff>
              </from>
              <to>
                <xdr:col>31</xdr:col>
                <xdr:colOff>276225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4" r:id="rId118" name="Label 136">
          <controlPr defaultSize="0" autoFill="0" autoLine="0" autoPict="0" macro="[0]!Protect_InitialsB2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1</xdr:col>
                <xdr:colOff>285750</xdr:colOff>
                <xdr:row>30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5" r:id="rId119" name="Label 137">
          <controlPr defaultSize="0" autoFill="0" autoLine="0" autoPict="0" macro="[0]!Protect_InitialsE2">
            <anchor moveWithCells="1" sizeWithCells="1">
              <from>
                <xdr:col>3</xdr:col>
                <xdr:colOff>276225</xdr:colOff>
                <xdr:row>30</xdr:row>
                <xdr:rowOff>9525</xdr:rowOff>
              </from>
              <to>
                <xdr:col>4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6" r:id="rId120" name="Label 138">
          <controlPr defaultSize="0" autoFill="0" autoLine="0" autoPict="0" macro="[0]!Protect_InitialsF2">
            <anchor moveWithCells="1" sizeWithCells="1">
              <from>
                <xdr:col>4</xdr:col>
                <xdr:colOff>276225</xdr:colOff>
                <xdr:row>30</xdr:row>
                <xdr:rowOff>9525</xdr:rowOff>
              </from>
              <to>
                <xdr:col>5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7" r:id="rId121" name="Label 139">
          <controlPr defaultSize="0" autoFill="0" autoLine="0" autoPict="0" macro="[0]!Protect_InitialsH2">
            <anchor moveWithCells="1" sizeWithCells="1">
              <from>
                <xdr:col>7</xdr:col>
                <xdr:colOff>0</xdr:colOff>
                <xdr:row>30</xdr:row>
                <xdr:rowOff>0</xdr:rowOff>
              </from>
              <to>
                <xdr:col>8</xdr:col>
                <xdr:colOff>0</xdr:colOff>
                <xdr:row>30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8" r:id="rId122" name="Label 140">
          <controlPr defaultSize="0" autoFill="0" autoLine="0" autoPict="0" macro="[0]!Protect_InitialsI2">
            <anchor moveWithCells="1" sizeWithCells="1">
              <from>
                <xdr:col>8</xdr:col>
                <xdr:colOff>0</xdr:colOff>
                <xdr:row>30</xdr:row>
                <xdr:rowOff>0</xdr:rowOff>
              </from>
              <to>
                <xdr:col>9</xdr:col>
                <xdr:colOff>0</xdr:colOff>
                <xdr:row>30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3" r:id="rId123" name="Label 195">
          <controlPr defaultSize="0" autoFill="0" autoLine="0" autoPict="0" macro="[0]!Protect_InitialsAF2">
            <anchor moveWithCells="1" sizeWithCells="1">
              <from>
                <xdr:col>30</xdr:col>
                <xdr:colOff>276225</xdr:colOff>
                <xdr:row>30</xdr:row>
                <xdr:rowOff>9525</xdr:rowOff>
              </from>
              <to>
                <xdr:col>31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4" r:id="rId124" name="Label 196">
          <controlPr defaultSize="0" autoFill="0" autoLine="0" autoPict="0" macro="[0]!Protect_InitialsAE2">
            <anchor moveWithCells="1" sizeWithCells="1">
              <from>
                <xdr:col>29</xdr:col>
                <xdr:colOff>276225</xdr:colOff>
                <xdr:row>30</xdr:row>
                <xdr:rowOff>9525</xdr:rowOff>
              </from>
              <to>
                <xdr:col>30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5" r:id="rId125" name="Label 197">
          <controlPr defaultSize="0" autoFill="0" autoLine="0" autoPict="0" macro="[0]!Protect_InitialsAD2">
            <anchor moveWithCells="1" sizeWithCells="1">
              <from>
                <xdr:col>28</xdr:col>
                <xdr:colOff>276225</xdr:colOff>
                <xdr:row>30</xdr:row>
                <xdr:rowOff>9525</xdr:rowOff>
              </from>
              <to>
                <xdr:col>29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6" r:id="rId126" name="Label 198">
          <controlPr defaultSize="0" autoFill="0" autoLine="0" autoPict="0" macro="[0]!Protect_InitialsAC2">
            <anchor moveWithCells="1" sizeWithCells="1">
              <from>
                <xdr:col>27</xdr:col>
                <xdr:colOff>276225</xdr:colOff>
                <xdr:row>30</xdr:row>
                <xdr:rowOff>9525</xdr:rowOff>
              </from>
              <to>
                <xdr:col>28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7" r:id="rId127" name="Label 199">
          <controlPr defaultSize="0" autoFill="0" autoLine="0" autoPict="0" macro="[0]!Protect_InitialsAB2">
            <anchor moveWithCells="1" sizeWithCells="1">
              <from>
                <xdr:col>26</xdr:col>
                <xdr:colOff>276225</xdr:colOff>
                <xdr:row>30</xdr:row>
                <xdr:rowOff>9525</xdr:rowOff>
              </from>
              <to>
                <xdr:col>27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8" r:id="rId128" name="Label 200">
          <controlPr defaultSize="0" autoFill="0" autoLine="0" autoPict="0" macro="[0]!Protect_InitialsAA2">
            <anchor moveWithCells="1" sizeWithCells="1">
              <from>
                <xdr:col>25</xdr:col>
                <xdr:colOff>276225</xdr:colOff>
                <xdr:row>30</xdr:row>
                <xdr:rowOff>9525</xdr:rowOff>
              </from>
              <to>
                <xdr:col>26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9" r:id="rId129" name="Label 201">
          <controlPr defaultSize="0" autoFill="0" autoLine="0" autoPict="0" macro="[0]!Protect_InitialsZ2">
            <anchor moveWithCells="1" sizeWithCells="1">
              <from>
                <xdr:col>24</xdr:col>
                <xdr:colOff>276225</xdr:colOff>
                <xdr:row>30</xdr:row>
                <xdr:rowOff>9525</xdr:rowOff>
              </from>
              <to>
                <xdr:col>25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0" r:id="rId130" name="Label 202">
          <controlPr defaultSize="0" autoFill="0" autoLine="0" autoPict="0" macro="[0]!Protect_InitialsI2">
            <anchor moveWithCells="1" sizeWithCells="1">
              <from>
                <xdr:col>23</xdr:col>
                <xdr:colOff>276225</xdr:colOff>
                <xdr:row>30</xdr:row>
                <xdr:rowOff>9525</xdr:rowOff>
              </from>
              <to>
                <xdr:col>24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1" r:id="rId131" name="Label 203">
          <controlPr defaultSize="0" autoFill="0" autoLine="0" autoPict="0" macro="[0]!Protect_InitialsY2">
            <anchor moveWithCells="1" sizeWithCells="1">
              <from>
                <xdr:col>23</xdr:col>
                <xdr:colOff>276225</xdr:colOff>
                <xdr:row>30</xdr:row>
                <xdr:rowOff>9525</xdr:rowOff>
              </from>
              <to>
                <xdr:col>24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2" r:id="rId132" name="Label 204">
          <controlPr defaultSize="0" autoFill="0" autoLine="0" autoPict="0" macro="[0]!Protect_InitialsX2">
            <anchor moveWithCells="1" sizeWithCells="1">
              <from>
                <xdr:col>22</xdr:col>
                <xdr:colOff>276225</xdr:colOff>
                <xdr:row>30</xdr:row>
                <xdr:rowOff>9525</xdr:rowOff>
              </from>
              <to>
                <xdr:col>23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3" r:id="rId133" name="Label 205">
          <controlPr defaultSize="0" autoFill="0" autoLine="0" autoPict="0" macro="[0]!Protect_InitialsW2">
            <anchor moveWithCells="1" sizeWithCells="1">
              <from>
                <xdr:col>21</xdr:col>
                <xdr:colOff>276225</xdr:colOff>
                <xdr:row>30</xdr:row>
                <xdr:rowOff>9525</xdr:rowOff>
              </from>
              <to>
                <xdr:col>22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4" r:id="rId134" name="Label 206">
          <controlPr defaultSize="0" autoFill="0" autoLine="0" autoPict="0" macro="[0]!Protect_InitialsV2">
            <anchor moveWithCells="1" sizeWithCells="1">
              <from>
                <xdr:col>20</xdr:col>
                <xdr:colOff>276225</xdr:colOff>
                <xdr:row>30</xdr:row>
                <xdr:rowOff>9525</xdr:rowOff>
              </from>
              <to>
                <xdr:col>21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5" r:id="rId135" name="Label 207">
          <controlPr defaultSize="0" autoFill="0" autoLine="0" autoPict="0" macro="[0]!Protect_InitialsU2">
            <anchor moveWithCells="1" sizeWithCells="1">
              <from>
                <xdr:col>19</xdr:col>
                <xdr:colOff>276225</xdr:colOff>
                <xdr:row>30</xdr:row>
                <xdr:rowOff>9525</xdr:rowOff>
              </from>
              <to>
                <xdr:col>20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6" r:id="rId136" name="Label 208">
          <controlPr defaultSize="0" autoFill="0" autoLine="0" autoPict="0" macro="[0]!Protect_InitialsT2">
            <anchor moveWithCells="1" sizeWithCells="1">
              <from>
                <xdr:col>18</xdr:col>
                <xdr:colOff>276225</xdr:colOff>
                <xdr:row>30</xdr:row>
                <xdr:rowOff>9525</xdr:rowOff>
              </from>
              <to>
                <xdr:col>19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7" r:id="rId137" name="Label 209">
          <controlPr defaultSize="0" autoFill="0" autoLine="0" autoPict="0" macro="[0]!Protect_InitialsS2">
            <anchor moveWithCells="1" sizeWithCells="1">
              <from>
                <xdr:col>17</xdr:col>
                <xdr:colOff>276225</xdr:colOff>
                <xdr:row>30</xdr:row>
                <xdr:rowOff>9525</xdr:rowOff>
              </from>
              <to>
                <xdr:col>18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8" r:id="rId138" name="Label 210">
          <controlPr defaultSize="0" autoFill="0" autoLine="0" autoPict="0" macro="[0]!Protect_InitialsR2">
            <anchor moveWithCells="1" sizeWithCells="1">
              <from>
                <xdr:col>16</xdr:col>
                <xdr:colOff>276225</xdr:colOff>
                <xdr:row>30</xdr:row>
                <xdr:rowOff>9525</xdr:rowOff>
              </from>
              <to>
                <xdr:col>17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9" r:id="rId139" name="Label 211">
          <controlPr defaultSize="0" autoFill="0" autoLine="0" autoPict="0" macro="[0]!Protect_InitialsQ2">
            <anchor moveWithCells="1" sizeWithCells="1">
              <from>
                <xdr:col>15</xdr:col>
                <xdr:colOff>276225</xdr:colOff>
                <xdr:row>30</xdr:row>
                <xdr:rowOff>9525</xdr:rowOff>
              </from>
              <to>
                <xdr:col>16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1" r:id="rId140" name="Label 213">
          <controlPr defaultSize="0" autoFill="0" autoLine="0" autoPict="0" macro="[0]!Protect_InitialsP2">
            <anchor moveWithCells="1" sizeWithCells="1">
              <from>
                <xdr:col>14</xdr:col>
                <xdr:colOff>276225</xdr:colOff>
                <xdr:row>30</xdr:row>
                <xdr:rowOff>9525</xdr:rowOff>
              </from>
              <to>
                <xdr:col>15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2" r:id="rId141" name="Label 214">
          <controlPr defaultSize="0" autoFill="0" autoLine="0" autoPict="0" macro="[0]!Protect_InitialsO2">
            <anchor moveWithCells="1" sizeWithCells="1">
              <from>
                <xdr:col>13</xdr:col>
                <xdr:colOff>276225</xdr:colOff>
                <xdr:row>30</xdr:row>
                <xdr:rowOff>9525</xdr:rowOff>
              </from>
              <to>
                <xdr:col>14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3" r:id="rId142" name="Label 215">
          <controlPr defaultSize="0" autoFill="0" autoLine="0" autoPict="0" macro="[0]!Protect_InitialsN2">
            <anchor moveWithCells="1" sizeWithCells="1">
              <from>
                <xdr:col>12</xdr:col>
                <xdr:colOff>276225</xdr:colOff>
                <xdr:row>30</xdr:row>
                <xdr:rowOff>9525</xdr:rowOff>
              </from>
              <to>
                <xdr:col>13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4" r:id="rId143" name="Label 216">
          <controlPr defaultSize="0" autoFill="0" autoLine="0" autoPict="0" macro="[0]!Protect_InitialsM2">
            <anchor moveWithCells="1" sizeWithCells="1">
              <from>
                <xdr:col>11</xdr:col>
                <xdr:colOff>276225</xdr:colOff>
                <xdr:row>30</xdr:row>
                <xdr:rowOff>9525</xdr:rowOff>
              </from>
              <to>
                <xdr:col>12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5" r:id="rId144" name="Label 217">
          <controlPr defaultSize="0" autoFill="0" autoLine="0" autoPict="0" macro="[0]!Protect_InitialsL2">
            <anchor moveWithCells="1" sizeWithCells="1">
              <from>
                <xdr:col>10</xdr:col>
                <xdr:colOff>276225</xdr:colOff>
                <xdr:row>30</xdr:row>
                <xdr:rowOff>9525</xdr:rowOff>
              </from>
              <to>
                <xdr:col>11</xdr:col>
                <xdr:colOff>276225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6" r:id="rId145" name="Label 218">
          <controlPr defaultSize="0" autoFill="0" autoLine="0" autoPict="0" macro="[0]!Protect_InitialsJ2">
            <anchor moveWithCells="1" sizeWithCells="1">
              <from>
                <xdr:col>9</xdr:col>
                <xdr:colOff>0</xdr:colOff>
                <xdr:row>30</xdr:row>
                <xdr:rowOff>9525</xdr:rowOff>
              </from>
              <to>
                <xdr:col>10</xdr:col>
                <xdr:colOff>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7" r:id="rId146" name="Label 219">
          <controlPr defaultSize="0" autoFill="0" autoLine="0" autoPict="0" macro="[0]!Protect_InitialsK2">
            <anchor moveWithCells="1" sizeWithCells="1">
              <from>
                <xdr:col>10</xdr:col>
                <xdr:colOff>0</xdr:colOff>
                <xdr:row>30</xdr:row>
                <xdr:rowOff>0</xdr:rowOff>
              </from>
              <to>
                <xdr:col>11</xdr:col>
                <xdr:colOff>0</xdr:colOff>
                <xdr:row>30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8" r:id="rId147" name="Label 220">
          <controlPr defaultSize="0" autoFill="0" autoLine="0" autoPict="0" macro="[0]!Protect_InitialsAF3">
            <anchor moveWithCells="1" sizeWithCells="1">
              <from>
                <xdr:col>31</xdr:col>
                <xdr:colOff>0</xdr:colOff>
                <xdr:row>31</xdr:row>
                <xdr:rowOff>0</xdr:rowOff>
              </from>
              <to>
                <xdr:col>32</xdr:col>
                <xdr:colOff>0</xdr:colOff>
                <xdr:row>31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9" r:id="rId148" name="Label 221">
          <controlPr defaultSize="0" autoFill="0" autoLine="0" autoPict="0" macro="[0]!Protect_InitialsAE3">
            <anchor moveWithCells="1" sizeWithCells="1">
              <from>
                <xdr:col>29</xdr:col>
                <xdr:colOff>276225</xdr:colOff>
                <xdr:row>31</xdr:row>
                <xdr:rowOff>9525</xdr:rowOff>
              </from>
              <to>
                <xdr:col>30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0" r:id="rId149" name="Label 222">
          <controlPr defaultSize="0" autoFill="0" autoLine="0" autoPict="0" macro="[0]!Protect_InitialsAD3">
            <anchor moveWithCells="1" sizeWithCells="1">
              <from>
                <xdr:col>28</xdr:col>
                <xdr:colOff>276225</xdr:colOff>
                <xdr:row>31</xdr:row>
                <xdr:rowOff>9525</xdr:rowOff>
              </from>
              <to>
                <xdr:col>29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1" r:id="rId150" name="Label 223">
          <controlPr defaultSize="0" autoFill="0" autoLine="0" autoPict="0" macro="[0]!Protect_InitialsAC3">
            <anchor moveWithCells="1" sizeWithCells="1">
              <from>
                <xdr:col>27</xdr:col>
                <xdr:colOff>276225</xdr:colOff>
                <xdr:row>31</xdr:row>
                <xdr:rowOff>9525</xdr:rowOff>
              </from>
              <to>
                <xdr:col>28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2" r:id="rId151" name="Label 224">
          <controlPr defaultSize="0" autoFill="0" autoLine="0" autoPict="0" macro="[0]!Protect_InitialsAB3">
            <anchor moveWithCells="1" sizeWithCells="1">
              <from>
                <xdr:col>26</xdr:col>
                <xdr:colOff>276225</xdr:colOff>
                <xdr:row>31</xdr:row>
                <xdr:rowOff>9525</xdr:rowOff>
              </from>
              <to>
                <xdr:col>27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3" r:id="rId152" name="Label 225">
          <controlPr defaultSize="0" autoFill="0" autoLine="0" autoPict="0" macro="[0]!Protect_InitialsAA3">
            <anchor moveWithCells="1" sizeWithCells="1">
              <from>
                <xdr:col>25</xdr:col>
                <xdr:colOff>276225</xdr:colOff>
                <xdr:row>31</xdr:row>
                <xdr:rowOff>9525</xdr:rowOff>
              </from>
              <to>
                <xdr:col>26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4" r:id="rId153" name="Label 226">
          <controlPr defaultSize="0" autoFill="0" autoLine="0" autoPict="0" macro="[0]!Protect_InitialsZ3">
            <anchor moveWithCells="1" sizeWithCells="1">
              <from>
                <xdr:col>24</xdr:col>
                <xdr:colOff>276225</xdr:colOff>
                <xdr:row>31</xdr:row>
                <xdr:rowOff>9525</xdr:rowOff>
              </from>
              <to>
                <xdr:col>25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5" r:id="rId154" name="Label 227">
          <controlPr defaultSize="0" autoFill="0" autoLine="0" autoPict="0" macro="[0]!Protect_InitialsY3">
            <anchor moveWithCells="1" sizeWithCells="1">
              <from>
                <xdr:col>23</xdr:col>
                <xdr:colOff>276225</xdr:colOff>
                <xdr:row>31</xdr:row>
                <xdr:rowOff>9525</xdr:rowOff>
              </from>
              <to>
                <xdr:col>24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6" r:id="rId155" name="Label 228">
          <controlPr defaultSize="0" autoFill="0" autoLine="0" autoPict="0" macro="[0]!Protect_InitialsX3">
            <anchor moveWithCells="1" sizeWithCells="1">
              <from>
                <xdr:col>22</xdr:col>
                <xdr:colOff>276225</xdr:colOff>
                <xdr:row>31</xdr:row>
                <xdr:rowOff>9525</xdr:rowOff>
              </from>
              <to>
                <xdr:col>23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7" r:id="rId156" name="Label 229">
          <controlPr defaultSize="0" autoFill="0" autoLine="0" autoPict="0" macro="[0]!Protect_InitialsW3">
            <anchor moveWithCells="1" sizeWithCells="1">
              <from>
                <xdr:col>21</xdr:col>
                <xdr:colOff>276225</xdr:colOff>
                <xdr:row>31</xdr:row>
                <xdr:rowOff>9525</xdr:rowOff>
              </from>
              <to>
                <xdr:col>22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8" r:id="rId157" name="Label 230">
          <controlPr defaultSize="0" autoFill="0" autoLine="0" autoPict="0" macro="[0]!Protect_InitialsV3">
            <anchor moveWithCells="1" sizeWithCells="1">
              <from>
                <xdr:col>20</xdr:col>
                <xdr:colOff>276225</xdr:colOff>
                <xdr:row>31</xdr:row>
                <xdr:rowOff>9525</xdr:rowOff>
              </from>
              <to>
                <xdr:col>21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9" r:id="rId158" name="Label 231">
          <controlPr defaultSize="0" autoFill="0" autoLine="0" autoPict="0" macro="[0]!Protect_InitialsU3">
            <anchor moveWithCells="1" sizeWithCells="1">
              <from>
                <xdr:col>19</xdr:col>
                <xdr:colOff>276225</xdr:colOff>
                <xdr:row>31</xdr:row>
                <xdr:rowOff>9525</xdr:rowOff>
              </from>
              <to>
                <xdr:col>20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0" r:id="rId159" name="Label 232">
          <controlPr defaultSize="0" autoFill="0" autoLine="0" autoPict="0" macro="[0]!Protect_InitialsT3">
            <anchor moveWithCells="1" sizeWithCells="1">
              <from>
                <xdr:col>18</xdr:col>
                <xdr:colOff>276225</xdr:colOff>
                <xdr:row>31</xdr:row>
                <xdr:rowOff>9525</xdr:rowOff>
              </from>
              <to>
                <xdr:col>19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1" r:id="rId160" name="Label 233">
          <controlPr defaultSize="0" autoFill="0" autoLine="0" autoPict="0" macro="[0]!Protect_InitialsS3">
            <anchor moveWithCells="1" sizeWithCells="1">
              <from>
                <xdr:col>17</xdr:col>
                <xdr:colOff>276225</xdr:colOff>
                <xdr:row>31</xdr:row>
                <xdr:rowOff>9525</xdr:rowOff>
              </from>
              <to>
                <xdr:col>18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2" r:id="rId161" name="Label 234">
          <controlPr defaultSize="0" autoFill="0" autoLine="0" autoPict="0" macro="[0]!Protect_InitialsR3">
            <anchor moveWithCells="1" sizeWithCells="1">
              <from>
                <xdr:col>16</xdr:col>
                <xdr:colOff>276225</xdr:colOff>
                <xdr:row>31</xdr:row>
                <xdr:rowOff>9525</xdr:rowOff>
              </from>
              <to>
                <xdr:col>17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3" r:id="rId162" name="Label 235">
          <controlPr defaultSize="0" autoFill="0" autoLine="0" autoPict="0" macro="[0]!Protect_InitialsQ3">
            <anchor moveWithCells="1" sizeWithCells="1">
              <from>
                <xdr:col>15</xdr:col>
                <xdr:colOff>276225</xdr:colOff>
                <xdr:row>31</xdr:row>
                <xdr:rowOff>9525</xdr:rowOff>
              </from>
              <to>
                <xdr:col>16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4" r:id="rId163" name="Label 236">
          <controlPr defaultSize="0" autoFill="0" autoLine="0" autoPict="0" macro="[0]!Protect_InitialsP3">
            <anchor moveWithCells="1" sizeWithCells="1">
              <from>
                <xdr:col>14</xdr:col>
                <xdr:colOff>276225</xdr:colOff>
                <xdr:row>31</xdr:row>
                <xdr:rowOff>9525</xdr:rowOff>
              </from>
              <to>
                <xdr:col>15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5" r:id="rId164" name="Label 237">
          <controlPr defaultSize="0" autoFill="0" autoLine="0" autoPict="0" macro="[0]!Protect_InitialsO3">
            <anchor moveWithCells="1" sizeWithCells="1">
              <from>
                <xdr:col>13</xdr:col>
                <xdr:colOff>276225</xdr:colOff>
                <xdr:row>31</xdr:row>
                <xdr:rowOff>9525</xdr:rowOff>
              </from>
              <to>
                <xdr:col>14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6" r:id="rId165" name="Label 238">
          <controlPr defaultSize="0" autoFill="0" autoLine="0" autoPict="0" macro="[0]!Protect_InitialsN3">
            <anchor moveWithCells="1" sizeWithCells="1">
              <from>
                <xdr:col>12</xdr:col>
                <xdr:colOff>276225</xdr:colOff>
                <xdr:row>31</xdr:row>
                <xdr:rowOff>9525</xdr:rowOff>
              </from>
              <to>
                <xdr:col>13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7" r:id="rId166" name="Label 239">
          <controlPr defaultSize="0" autoFill="0" autoLine="0" autoPict="0" macro="[0]!Protect_InitialsM3">
            <anchor moveWithCells="1" sizeWithCells="1">
              <from>
                <xdr:col>11</xdr:col>
                <xdr:colOff>276225</xdr:colOff>
                <xdr:row>31</xdr:row>
                <xdr:rowOff>9525</xdr:rowOff>
              </from>
              <to>
                <xdr:col>12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8" r:id="rId167" name="Label 240">
          <controlPr defaultSize="0" autoFill="0" autoLine="0" autoPict="0" macro="[0]!Protect_InitialsL3">
            <anchor moveWithCells="1" sizeWithCells="1">
              <from>
                <xdr:col>10</xdr:col>
                <xdr:colOff>276225</xdr:colOff>
                <xdr:row>31</xdr:row>
                <xdr:rowOff>9525</xdr:rowOff>
              </from>
              <to>
                <xdr:col>11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9" r:id="rId168" name="Label 241">
          <controlPr defaultSize="0" autoFill="0" autoLine="0" autoPict="0" macro="[0]!Protect_InitialsK3">
            <anchor moveWithCells="1" sizeWithCells="1">
              <from>
                <xdr:col>9</xdr:col>
                <xdr:colOff>276225</xdr:colOff>
                <xdr:row>31</xdr:row>
                <xdr:rowOff>9525</xdr:rowOff>
              </from>
              <to>
                <xdr:col>10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0" r:id="rId169" name="Label 242">
          <controlPr defaultSize="0" autoFill="0" autoLine="0" autoPict="0" macro="[0]!Protect_InitialsJ3">
            <anchor moveWithCells="1" sizeWithCells="1">
              <from>
                <xdr:col>8</xdr:col>
                <xdr:colOff>276225</xdr:colOff>
                <xdr:row>31</xdr:row>
                <xdr:rowOff>9525</xdr:rowOff>
              </from>
              <to>
                <xdr:col>9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1" r:id="rId170" name="Label 243">
          <controlPr defaultSize="0" autoFill="0" autoLine="0" autoPict="0" macro="[0]!Protect_InitialsI3">
            <anchor moveWithCells="1" sizeWithCells="1">
              <from>
                <xdr:col>7</xdr:col>
                <xdr:colOff>276225</xdr:colOff>
                <xdr:row>31</xdr:row>
                <xdr:rowOff>9525</xdr:rowOff>
              </from>
              <to>
                <xdr:col>8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3" r:id="rId171" name="Label 245">
          <controlPr defaultSize="0" autoFill="0" autoLine="0" autoPict="0" macro="[0]!Protect_InitialsH3">
            <anchor moveWithCells="1" sizeWithCells="1">
              <from>
                <xdr:col>6</xdr:col>
                <xdr:colOff>276225</xdr:colOff>
                <xdr:row>31</xdr:row>
                <xdr:rowOff>9525</xdr:rowOff>
              </from>
              <to>
                <xdr:col>7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4" r:id="rId172" name="Label 246">
          <controlPr defaultSize="0" autoFill="0" autoLine="0" autoPict="0" macro="[0]!Protect_InitialsG3">
            <anchor moveWithCells="1" sizeWithCells="1">
              <from>
                <xdr:col>5</xdr:col>
                <xdr:colOff>276225</xdr:colOff>
                <xdr:row>31</xdr:row>
                <xdr:rowOff>9525</xdr:rowOff>
              </from>
              <to>
                <xdr:col>6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5" r:id="rId173" name="Label 247">
          <controlPr defaultSize="0" autoFill="0" autoLine="0" autoPict="0" macro="[0]!Protect_InitialsF3">
            <anchor moveWithCells="1" sizeWithCells="1">
              <from>
                <xdr:col>4</xdr:col>
                <xdr:colOff>276225</xdr:colOff>
                <xdr:row>31</xdr:row>
                <xdr:rowOff>9525</xdr:rowOff>
              </from>
              <to>
                <xdr:col>5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6" r:id="rId174" name="Label 248">
          <controlPr defaultSize="0" autoFill="0" autoLine="0" autoPict="0" macro="[0]!Protect_InitialsE3">
            <anchor moveWithCells="1" sizeWithCells="1">
              <from>
                <xdr:col>3</xdr:col>
                <xdr:colOff>276225</xdr:colOff>
                <xdr:row>31</xdr:row>
                <xdr:rowOff>9525</xdr:rowOff>
              </from>
              <to>
                <xdr:col>4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7" r:id="rId175" name="Label 249">
          <controlPr defaultSize="0" autoFill="0" autoLine="0" autoPict="0" macro="[0]!Protect_InitialsD3">
            <anchor moveWithCells="1" sizeWithCells="1">
              <from>
                <xdr:col>2</xdr:col>
                <xdr:colOff>276225</xdr:colOff>
                <xdr:row>31</xdr:row>
                <xdr:rowOff>9525</xdr:rowOff>
              </from>
              <to>
                <xdr:col>3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8" r:id="rId176" name="Label 250">
          <controlPr defaultSize="0" autoFill="0" autoLine="0" autoPict="0" macro="[0]!Protect_InitialsC3">
            <anchor moveWithCells="1" sizeWithCells="1">
              <from>
                <xdr:col>1</xdr:col>
                <xdr:colOff>276225</xdr:colOff>
                <xdr:row>31</xdr:row>
                <xdr:rowOff>9525</xdr:rowOff>
              </from>
              <to>
                <xdr:col>2</xdr:col>
                <xdr:colOff>276225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9" r:id="rId177" name="Label 251">
          <controlPr defaultSize="0" autoFill="0" autoLine="0" autoPict="0" macro="[0]!Protect_InitialsB3">
            <anchor moveWithCells="1" siz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31</xdr:row>
                <xdr:rowOff>295275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616</vt:i4>
      </vt:variant>
    </vt:vector>
  </HeadingPairs>
  <TitlesOfParts>
    <vt:vector size="618" baseType="lpstr">
      <vt:lpstr>Commands</vt:lpstr>
      <vt:lpstr>Sheet1</vt:lpstr>
      <vt:lpstr>Column2EndAF</vt:lpstr>
      <vt:lpstr>Commands!Column2StartAA</vt:lpstr>
      <vt:lpstr>Column2StartAA</vt:lpstr>
      <vt:lpstr>Commands!Column2StartAB</vt:lpstr>
      <vt:lpstr>Column2StartAB</vt:lpstr>
      <vt:lpstr>Commands!Column2StartAC</vt:lpstr>
      <vt:lpstr>Column2StartAC</vt:lpstr>
      <vt:lpstr>Commands!Column2StartAD</vt:lpstr>
      <vt:lpstr>Column2StartAD</vt:lpstr>
      <vt:lpstr>Commands!Column2StartAE</vt:lpstr>
      <vt:lpstr>Column2StartAE</vt:lpstr>
      <vt:lpstr>Commands!Column2StartAF</vt:lpstr>
      <vt:lpstr>Column2StartAF</vt:lpstr>
      <vt:lpstr>Commands!Column2StartB</vt:lpstr>
      <vt:lpstr>Column2StartB</vt:lpstr>
      <vt:lpstr>Commands!Column2StartC</vt:lpstr>
      <vt:lpstr>Column2StartC</vt:lpstr>
      <vt:lpstr>Commands!Column2StartD</vt:lpstr>
      <vt:lpstr>Column2StartD</vt:lpstr>
      <vt:lpstr>Commands!Column2StartE</vt:lpstr>
      <vt:lpstr>Column2StartE</vt:lpstr>
      <vt:lpstr>Commands!Column2StartF</vt:lpstr>
      <vt:lpstr>Column2StartF</vt:lpstr>
      <vt:lpstr>Commands!Column2StartG</vt:lpstr>
      <vt:lpstr>Column2StartG</vt:lpstr>
      <vt:lpstr>Commands!Column2StartH</vt:lpstr>
      <vt:lpstr>Column2StartH</vt:lpstr>
      <vt:lpstr>Commands!Column2StartI</vt:lpstr>
      <vt:lpstr>Column2StartI</vt:lpstr>
      <vt:lpstr>Commands!Column2StartJ</vt:lpstr>
      <vt:lpstr>Column2StartJ</vt:lpstr>
      <vt:lpstr>Commands!Column2StartK</vt:lpstr>
      <vt:lpstr>Column2StartK</vt:lpstr>
      <vt:lpstr>Commands!Column2StartL</vt:lpstr>
      <vt:lpstr>Column2StartL</vt:lpstr>
      <vt:lpstr>Commands!Column2StartM</vt:lpstr>
      <vt:lpstr>Column2StartM</vt:lpstr>
      <vt:lpstr>Commands!Column2StartN</vt:lpstr>
      <vt:lpstr>Column2StartN</vt:lpstr>
      <vt:lpstr>Commands!Column2StartO</vt:lpstr>
      <vt:lpstr>Column2StartO</vt:lpstr>
      <vt:lpstr>Commands!Column2StartP</vt:lpstr>
      <vt:lpstr>Column2StartP</vt:lpstr>
      <vt:lpstr>Commands!Column2StartQ</vt:lpstr>
      <vt:lpstr>Column2StartQ</vt:lpstr>
      <vt:lpstr>Commands!Column2StartR</vt:lpstr>
      <vt:lpstr>Column2StartR</vt:lpstr>
      <vt:lpstr>Commands!Column2StartS</vt:lpstr>
      <vt:lpstr>Column2StartS</vt:lpstr>
      <vt:lpstr>Commands!Column2StartT</vt:lpstr>
      <vt:lpstr>Column2StartT</vt:lpstr>
      <vt:lpstr>Commands!Column2StartU</vt:lpstr>
      <vt:lpstr>Column2StartU</vt:lpstr>
      <vt:lpstr>Commands!Column2StartV</vt:lpstr>
      <vt:lpstr>Column2StartV</vt:lpstr>
      <vt:lpstr>Commands!Column2StartW</vt:lpstr>
      <vt:lpstr>Column2StartW</vt:lpstr>
      <vt:lpstr>Commands!Column2StartX</vt:lpstr>
      <vt:lpstr>Column2StartX</vt:lpstr>
      <vt:lpstr>Commands!Column2StartY</vt:lpstr>
      <vt:lpstr>Column2StartY</vt:lpstr>
      <vt:lpstr>Commands!Column2StartZ</vt:lpstr>
      <vt:lpstr>Column2StartZ</vt:lpstr>
      <vt:lpstr>Commands!Column3EndAA</vt:lpstr>
      <vt:lpstr>Column3EndAA</vt:lpstr>
      <vt:lpstr>Commands!Column3EndAB</vt:lpstr>
      <vt:lpstr>Column3EndAB</vt:lpstr>
      <vt:lpstr>Commands!Column3EndAC</vt:lpstr>
      <vt:lpstr>Column3EndAC</vt:lpstr>
      <vt:lpstr>Commands!Column3EndAD</vt:lpstr>
      <vt:lpstr>Column3EndAD</vt:lpstr>
      <vt:lpstr>Commands!Column3EndAE</vt:lpstr>
      <vt:lpstr>Column3EndAE</vt:lpstr>
      <vt:lpstr>Commands!Column3EndAF</vt:lpstr>
      <vt:lpstr>Column3EndAF</vt:lpstr>
      <vt:lpstr>Commands!Column3EndB</vt:lpstr>
      <vt:lpstr>Column3EndB</vt:lpstr>
      <vt:lpstr>Commands!Column3EndC</vt:lpstr>
      <vt:lpstr>Column3EndC</vt:lpstr>
      <vt:lpstr>Commands!Column3EndD</vt:lpstr>
      <vt:lpstr>Column3EndD</vt:lpstr>
      <vt:lpstr>Commands!Column3EndE</vt:lpstr>
      <vt:lpstr>Column3EndE</vt:lpstr>
      <vt:lpstr>Commands!Column3EndF</vt:lpstr>
      <vt:lpstr>Column3EndF</vt:lpstr>
      <vt:lpstr>Commands!Column3EndG</vt:lpstr>
      <vt:lpstr>Column3EndG</vt:lpstr>
      <vt:lpstr>Commands!Column3EndH</vt:lpstr>
      <vt:lpstr>Column3EndH</vt:lpstr>
      <vt:lpstr>Commands!Column3EndI</vt:lpstr>
      <vt:lpstr>Column3EndI</vt:lpstr>
      <vt:lpstr>Commands!Column3EndJ</vt:lpstr>
      <vt:lpstr>Column3EndJ</vt:lpstr>
      <vt:lpstr>Commands!Column3EndK</vt:lpstr>
      <vt:lpstr>Column3EndK</vt:lpstr>
      <vt:lpstr>Commands!Column3EndL</vt:lpstr>
      <vt:lpstr>Column3EndL</vt:lpstr>
      <vt:lpstr>Commands!Column3EndM</vt:lpstr>
      <vt:lpstr>Column3EndM</vt:lpstr>
      <vt:lpstr>Commands!Column3EndN</vt:lpstr>
      <vt:lpstr>Column3EndN</vt:lpstr>
      <vt:lpstr>Commands!Column3EndO</vt:lpstr>
      <vt:lpstr>Column3EndO</vt:lpstr>
      <vt:lpstr>Commands!Column3EndP</vt:lpstr>
      <vt:lpstr>Column3EndP</vt:lpstr>
      <vt:lpstr>Commands!Column3EndQ</vt:lpstr>
      <vt:lpstr>Column3EndQ</vt:lpstr>
      <vt:lpstr>Commands!Column3EndR</vt:lpstr>
      <vt:lpstr>Column3EndR</vt:lpstr>
      <vt:lpstr>Commands!Column3EndS</vt:lpstr>
      <vt:lpstr>Column3EndS</vt:lpstr>
      <vt:lpstr>Commands!Column3EndT</vt:lpstr>
      <vt:lpstr>Column3EndT</vt:lpstr>
      <vt:lpstr>Commands!Column3EndU</vt:lpstr>
      <vt:lpstr>Column3EndU</vt:lpstr>
      <vt:lpstr>Commands!Column3EndV</vt:lpstr>
      <vt:lpstr>Column3EndV</vt:lpstr>
      <vt:lpstr>Commands!Column3EndW</vt:lpstr>
      <vt:lpstr>Column3EndW</vt:lpstr>
      <vt:lpstr>Commands!Column3EndX</vt:lpstr>
      <vt:lpstr>Column3EndX</vt:lpstr>
      <vt:lpstr>Commands!Column3EndY</vt:lpstr>
      <vt:lpstr>Column3EndY</vt:lpstr>
      <vt:lpstr>Commands!Column3EndZ</vt:lpstr>
      <vt:lpstr>Column3EndZ</vt:lpstr>
      <vt:lpstr>Commands!Column3StartAA</vt:lpstr>
      <vt:lpstr>Column3StartAA</vt:lpstr>
      <vt:lpstr>Commands!Column3StartAB</vt:lpstr>
      <vt:lpstr>Column3StartAB</vt:lpstr>
      <vt:lpstr>Commands!Column3StartAC</vt:lpstr>
      <vt:lpstr>Column3StartAC</vt:lpstr>
      <vt:lpstr>Commands!Column3StartAD</vt:lpstr>
      <vt:lpstr>Column3StartAD</vt:lpstr>
      <vt:lpstr>Commands!Column3StartAE</vt:lpstr>
      <vt:lpstr>Column3StartAE</vt:lpstr>
      <vt:lpstr>Commands!Column3StartAF</vt:lpstr>
      <vt:lpstr>Column3StartAF</vt:lpstr>
      <vt:lpstr>Commands!Column3StartB</vt:lpstr>
      <vt:lpstr>Column3StartB</vt:lpstr>
      <vt:lpstr>Commands!Column3StartC</vt:lpstr>
      <vt:lpstr>Column3StartC</vt:lpstr>
      <vt:lpstr>Commands!Column3StartD</vt:lpstr>
      <vt:lpstr>Column3StartD</vt:lpstr>
      <vt:lpstr>Commands!Column3StartE</vt:lpstr>
      <vt:lpstr>Column3StartE</vt:lpstr>
      <vt:lpstr>Commands!Column3StartF</vt:lpstr>
      <vt:lpstr>Column3StartF</vt:lpstr>
      <vt:lpstr>Commands!Column3StartG</vt:lpstr>
      <vt:lpstr>Column3StartG</vt:lpstr>
      <vt:lpstr>Commands!Column3StartH</vt:lpstr>
      <vt:lpstr>Column3StartH</vt:lpstr>
      <vt:lpstr>Commands!Column3StartI</vt:lpstr>
      <vt:lpstr>Column3StartI</vt:lpstr>
      <vt:lpstr>Commands!Column3StartJ</vt:lpstr>
      <vt:lpstr>Column3StartJ</vt:lpstr>
      <vt:lpstr>Commands!Column3StartK</vt:lpstr>
      <vt:lpstr>Column3StartK</vt:lpstr>
      <vt:lpstr>Commands!Column3StartL</vt:lpstr>
      <vt:lpstr>Column3StartL</vt:lpstr>
      <vt:lpstr>Commands!Column3StartM</vt:lpstr>
      <vt:lpstr>Column3StartM</vt:lpstr>
      <vt:lpstr>Commands!Column3StartN</vt:lpstr>
      <vt:lpstr>Column3StartN</vt:lpstr>
      <vt:lpstr>Commands!Column3StartO</vt:lpstr>
      <vt:lpstr>Column3StartO</vt:lpstr>
      <vt:lpstr>Commands!Column3StartP</vt:lpstr>
      <vt:lpstr>Column3StartP</vt:lpstr>
      <vt:lpstr>Commands!Column3StartQ</vt:lpstr>
      <vt:lpstr>Column3StartQ</vt:lpstr>
      <vt:lpstr>Commands!Column3StartR</vt:lpstr>
      <vt:lpstr>Column3StartR</vt:lpstr>
      <vt:lpstr>Commands!Column3StartS</vt:lpstr>
      <vt:lpstr>Column3StartS</vt:lpstr>
      <vt:lpstr>Commands!Column3StartT</vt:lpstr>
      <vt:lpstr>Column3StartT</vt:lpstr>
      <vt:lpstr>Commands!Column3StartU</vt:lpstr>
      <vt:lpstr>Column3StartU</vt:lpstr>
      <vt:lpstr>Commands!Column3StartV</vt:lpstr>
      <vt:lpstr>Column3StartV</vt:lpstr>
      <vt:lpstr>Commands!Column3StartW</vt:lpstr>
      <vt:lpstr>Column3StartW</vt:lpstr>
      <vt:lpstr>Commands!Column3StartX</vt:lpstr>
      <vt:lpstr>Column3StartX</vt:lpstr>
      <vt:lpstr>Commands!Column3StartY</vt:lpstr>
      <vt:lpstr>Column3StartY</vt:lpstr>
      <vt:lpstr>Commands!Column3StartZ</vt:lpstr>
      <vt:lpstr>Column3StartZ</vt:lpstr>
      <vt:lpstr>Commands!ColumnEndAA</vt:lpstr>
      <vt:lpstr>ColumnEndAA</vt:lpstr>
      <vt:lpstr>Commands!ColumnEndAB</vt:lpstr>
      <vt:lpstr>ColumnEndAB</vt:lpstr>
      <vt:lpstr>Commands!ColumnEndAC</vt:lpstr>
      <vt:lpstr>ColumnEndAC</vt:lpstr>
      <vt:lpstr>Commands!ColumnEndAD</vt:lpstr>
      <vt:lpstr>ColumnEndAD</vt:lpstr>
      <vt:lpstr>Commands!ColumnEndAE</vt:lpstr>
      <vt:lpstr>ColumnEndAE</vt:lpstr>
      <vt:lpstr>Commands!ColumnEndAF</vt:lpstr>
      <vt:lpstr>ColumnEndAF</vt:lpstr>
      <vt:lpstr>Commands!ColumnEndB</vt:lpstr>
      <vt:lpstr>ColumnEndB</vt:lpstr>
      <vt:lpstr>Commands!ColumnEndC</vt:lpstr>
      <vt:lpstr>ColumnEndC</vt:lpstr>
      <vt:lpstr>Commands!ColumnEndD</vt:lpstr>
      <vt:lpstr>ColumnEndD</vt:lpstr>
      <vt:lpstr>Commands!ColumnEndE</vt:lpstr>
      <vt:lpstr>ColumnEndE</vt:lpstr>
      <vt:lpstr>Commands!ColumnEndF</vt:lpstr>
      <vt:lpstr>ColumnEndF</vt:lpstr>
      <vt:lpstr>Commands!ColumnEndG</vt:lpstr>
      <vt:lpstr>ColumnEndG</vt:lpstr>
      <vt:lpstr>Commands!ColumnEndH</vt:lpstr>
      <vt:lpstr>ColumnEndH</vt:lpstr>
      <vt:lpstr>Commands!ColumnEndI</vt:lpstr>
      <vt:lpstr>ColumnEndI</vt:lpstr>
      <vt:lpstr>Commands!ColumnEndJ</vt:lpstr>
      <vt:lpstr>ColumnEndJ</vt:lpstr>
      <vt:lpstr>Commands!ColumnEndK</vt:lpstr>
      <vt:lpstr>ColumnEndK</vt:lpstr>
      <vt:lpstr>Commands!ColumnEndL</vt:lpstr>
      <vt:lpstr>ColumnEndL</vt:lpstr>
      <vt:lpstr>Commands!ColumnEndM</vt:lpstr>
      <vt:lpstr>ColumnEndM</vt:lpstr>
      <vt:lpstr>Commands!ColumnEndN</vt:lpstr>
      <vt:lpstr>ColumnEndN</vt:lpstr>
      <vt:lpstr>Commands!ColumnEndO</vt:lpstr>
      <vt:lpstr>ColumnEndO</vt:lpstr>
      <vt:lpstr>Commands!ColumnEndP</vt:lpstr>
      <vt:lpstr>ColumnEndP</vt:lpstr>
      <vt:lpstr>Commands!ColumnEndQ</vt:lpstr>
      <vt:lpstr>ColumnEndQ</vt:lpstr>
      <vt:lpstr>Commands!ColumnEndR</vt:lpstr>
      <vt:lpstr>ColumnEndR</vt:lpstr>
      <vt:lpstr>Commands!ColumnEndS</vt:lpstr>
      <vt:lpstr>ColumnEndS</vt:lpstr>
      <vt:lpstr>Commands!ColumnEndT</vt:lpstr>
      <vt:lpstr>ColumnEndT</vt:lpstr>
      <vt:lpstr>Commands!ColumnEndU</vt:lpstr>
      <vt:lpstr>ColumnEndU</vt:lpstr>
      <vt:lpstr>Commands!ColumnEndV</vt:lpstr>
      <vt:lpstr>ColumnEndV</vt:lpstr>
      <vt:lpstr>Commands!ColumnEndW</vt:lpstr>
      <vt:lpstr>ColumnEndW</vt:lpstr>
      <vt:lpstr>Commands!ColumnEndX</vt:lpstr>
      <vt:lpstr>ColumnEndX</vt:lpstr>
      <vt:lpstr>Commands!ColumnEndY</vt:lpstr>
      <vt:lpstr>ColumnEndY</vt:lpstr>
      <vt:lpstr>Commands!ColumnEndZ</vt:lpstr>
      <vt:lpstr>ColumnEndZ</vt:lpstr>
      <vt:lpstr>Commands!ColumnStartAA</vt:lpstr>
      <vt:lpstr>ColumnStartAA</vt:lpstr>
      <vt:lpstr>Commands!ColumnStartAB</vt:lpstr>
      <vt:lpstr>ColumnStartAB</vt:lpstr>
      <vt:lpstr>Commands!ColumnStartAC</vt:lpstr>
      <vt:lpstr>ColumnStartAC</vt:lpstr>
      <vt:lpstr>Commands!ColumnStartAD</vt:lpstr>
      <vt:lpstr>ColumnStartAD</vt:lpstr>
      <vt:lpstr>Commands!ColumnStartAE</vt:lpstr>
      <vt:lpstr>ColumnStartAE</vt:lpstr>
      <vt:lpstr>Commands!ColumnStartAF</vt:lpstr>
      <vt:lpstr>ColumnStartAF</vt:lpstr>
      <vt:lpstr>Commands!ColumnStartB</vt:lpstr>
      <vt:lpstr>ColumnStartB</vt:lpstr>
      <vt:lpstr>Commands!ColumnStartC</vt:lpstr>
      <vt:lpstr>ColumnStartC</vt:lpstr>
      <vt:lpstr>Commands!ColumnStartD</vt:lpstr>
      <vt:lpstr>ColumnStartD</vt:lpstr>
      <vt:lpstr>Commands!ColumnStartE</vt:lpstr>
      <vt:lpstr>ColumnStartE</vt:lpstr>
      <vt:lpstr>Commands!ColumnStartF</vt:lpstr>
      <vt:lpstr>ColumnStartF</vt:lpstr>
      <vt:lpstr>Commands!ColumnStartG</vt:lpstr>
      <vt:lpstr>ColumnStartG</vt:lpstr>
      <vt:lpstr>Commands!ColumnStartH</vt:lpstr>
      <vt:lpstr>ColumnStartH</vt:lpstr>
      <vt:lpstr>Commands!ColumnStartI</vt:lpstr>
      <vt:lpstr>ColumnStartI</vt:lpstr>
      <vt:lpstr>Commands!ColumnStartJ</vt:lpstr>
      <vt:lpstr>ColumnStartJ</vt:lpstr>
      <vt:lpstr>Commands!ColumnStartK</vt:lpstr>
      <vt:lpstr>ColumnStartK</vt:lpstr>
      <vt:lpstr>Commands!ColumnStartL</vt:lpstr>
      <vt:lpstr>ColumnStartL</vt:lpstr>
      <vt:lpstr>Commands!ColumnStartM</vt:lpstr>
      <vt:lpstr>ColumnStartM</vt:lpstr>
      <vt:lpstr>Commands!ColumnStartN</vt:lpstr>
      <vt:lpstr>ColumnStartN</vt:lpstr>
      <vt:lpstr>Commands!ColumnStartO</vt:lpstr>
      <vt:lpstr>ColumnStartO</vt:lpstr>
      <vt:lpstr>Commands!ColumnStartP</vt:lpstr>
      <vt:lpstr>ColumnStartP</vt:lpstr>
      <vt:lpstr>Commands!ColumnStartQ</vt:lpstr>
      <vt:lpstr>ColumnStartQ</vt:lpstr>
      <vt:lpstr>Commands!ColumnStartR</vt:lpstr>
      <vt:lpstr>ColumnStartR</vt:lpstr>
      <vt:lpstr>Commands!ColumnStartS</vt:lpstr>
      <vt:lpstr>ColumnStartS</vt:lpstr>
      <vt:lpstr>Commands!ColumnStartT</vt:lpstr>
      <vt:lpstr>ColumnStartT</vt:lpstr>
      <vt:lpstr>Commands!ColumnStartU</vt:lpstr>
      <vt:lpstr>ColumnStartU</vt:lpstr>
      <vt:lpstr>Commands!ColumnStartV</vt:lpstr>
      <vt:lpstr>ColumnStartV</vt:lpstr>
      <vt:lpstr>Commands!ColumnStartW</vt:lpstr>
      <vt:lpstr>ColumnStartW</vt:lpstr>
      <vt:lpstr>Commands!ColumnStartX</vt:lpstr>
      <vt:lpstr>ColumnStartX</vt:lpstr>
      <vt:lpstr>Commands!ColumnStartY</vt:lpstr>
      <vt:lpstr>ColumnStartY</vt:lpstr>
      <vt:lpstr>Commands!ColumnStartZ</vt:lpstr>
      <vt:lpstr>ColumnStartZ</vt:lpstr>
      <vt:lpstr>CurrentMonthVisits</vt:lpstr>
      <vt:lpstr>Day_1</vt:lpstr>
      <vt:lpstr>Day_10</vt:lpstr>
      <vt:lpstr>Day_11</vt:lpstr>
      <vt:lpstr>Day_12</vt:lpstr>
      <vt:lpstr>Day_13</vt:lpstr>
      <vt:lpstr>Day_14</vt:lpstr>
      <vt:lpstr>Day_15</vt:lpstr>
      <vt:lpstr>Day_16</vt:lpstr>
      <vt:lpstr>Day_17</vt:lpstr>
      <vt:lpstr>Day_18</vt:lpstr>
      <vt:lpstr>Day_19</vt:lpstr>
      <vt:lpstr>Day_2</vt:lpstr>
      <vt:lpstr>Day_20</vt:lpstr>
      <vt:lpstr>Day_21</vt:lpstr>
      <vt:lpstr>Day_22</vt:lpstr>
      <vt:lpstr>Day_23</vt:lpstr>
      <vt:lpstr>Day_24</vt:lpstr>
      <vt:lpstr>Day_25</vt:lpstr>
      <vt:lpstr>Day_26</vt:lpstr>
      <vt:lpstr>Day_27</vt:lpstr>
      <vt:lpstr>Day_28</vt:lpstr>
      <vt:lpstr>Day_29</vt:lpstr>
      <vt:lpstr>Day_3</vt:lpstr>
      <vt:lpstr>Day_30</vt:lpstr>
      <vt:lpstr>Day_31</vt:lpstr>
      <vt:lpstr>Day_4</vt:lpstr>
      <vt:lpstr>Day_5</vt:lpstr>
      <vt:lpstr>Day_6</vt:lpstr>
      <vt:lpstr>Day_7</vt:lpstr>
      <vt:lpstr>Day_8</vt:lpstr>
      <vt:lpstr>Day_9</vt:lpstr>
      <vt:lpstr>DaysTreatedTwice</vt:lpstr>
      <vt:lpstr>Commands!Initials1</vt:lpstr>
      <vt:lpstr>Initials1</vt:lpstr>
      <vt:lpstr>Commands!Initials10</vt:lpstr>
      <vt:lpstr>Initials10</vt:lpstr>
      <vt:lpstr>Commands!Initials11</vt:lpstr>
      <vt:lpstr>Initials11</vt:lpstr>
      <vt:lpstr>Commands!Initials12</vt:lpstr>
      <vt:lpstr>Initials12</vt:lpstr>
      <vt:lpstr>Commands!Initials13</vt:lpstr>
      <vt:lpstr>Initials13</vt:lpstr>
      <vt:lpstr>Commands!Initials14</vt:lpstr>
      <vt:lpstr>Initials14</vt:lpstr>
      <vt:lpstr>Commands!Initials15</vt:lpstr>
      <vt:lpstr>Initials15</vt:lpstr>
      <vt:lpstr>Commands!Initials16</vt:lpstr>
      <vt:lpstr>Initials16</vt:lpstr>
      <vt:lpstr>Commands!Initials2</vt:lpstr>
      <vt:lpstr>Initials2</vt:lpstr>
      <vt:lpstr>Commands!Initials3</vt:lpstr>
      <vt:lpstr>Initials3</vt:lpstr>
      <vt:lpstr>Commands!Initials4</vt:lpstr>
      <vt:lpstr>Initials4</vt:lpstr>
      <vt:lpstr>Commands!Initials5</vt:lpstr>
      <vt:lpstr>Initials5</vt:lpstr>
      <vt:lpstr>Commands!Initials6</vt:lpstr>
      <vt:lpstr>Initials6</vt:lpstr>
      <vt:lpstr>Commands!Initials7</vt:lpstr>
      <vt:lpstr>Initials7</vt:lpstr>
      <vt:lpstr>Commands!Initials8</vt:lpstr>
      <vt:lpstr>Initials8</vt:lpstr>
      <vt:lpstr>Commands!Initials9</vt:lpstr>
      <vt:lpstr>Initials9</vt:lpstr>
      <vt:lpstr>InitialsAA1</vt:lpstr>
      <vt:lpstr>InitialsAA2</vt:lpstr>
      <vt:lpstr>InitialsAA3</vt:lpstr>
      <vt:lpstr>InitialsAB1</vt:lpstr>
      <vt:lpstr>InitialsAB2</vt:lpstr>
      <vt:lpstr>InitialsAB3</vt:lpstr>
      <vt:lpstr>InitialsAC1</vt:lpstr>
      <vt:lpstr>InitialsAC2</vt:lpstr>
      <vt:lpstr>InitialsAC3</vt:lpstr>
      <vt:lpstr>InitialsAD1</vt:lpstr>
      <vt:lpstr>InitialsAD2</vt:lpstr>
      <vt:lpstr>InitialsAD3</vt:lpstr>
      <vt:lpstr>InitialsAE1</vt:lpstr>
      <vt:lpstr>InitialsAE2</vt:lpstr>
      <vt:lpstr>InitialsAE3</vt:lpstr>
      <vt:lpstr>InitialsAF1</vt:lpstr>
      <vt:lpstr>InitialsAF2</vt:lpstr>
      <vt:lpstr>InitialsAF3</vt:lpstr>
      <vt:lpstr>InitialsB1</vt:lpstr>
      <vt:lpstr>InitialsB2</vt:lpstr>
      <vt:lpstr>InitialsB3</vt:lpstr>
      <vt:lpstr>InitialsC1</vt:lpstr>
      <vt:lpstr>InitialsC2</vt:lpstr>
      <vt:lpstr>InitialsC3</vt:lpstr>
      <vt:lpstr>InitialsCounter1</vt:lpstr>
      <vt:lpstr>InitialsCounter10</vt:lpstr>
      <vt:lpstr>InitialsCounter11</vt:lpstr>
      <vt:lpstr>InitialsCounter12</vt:lpstr>
      <vt:lpstr>InitialsCounter13</vt:lpstr>
      <vt:lpstr>InitialsCounter14</vt:lpstr>
      <vt:lpstr>InitialsCounter15</vt:lpstr>
      <vt:lpstr>InitialsCounter16</vt:lpstr>
      <vt:lpstr>InitialsCounter2</vt:lpstr>
      <vt:lpstr>InitialsCounter3</vt:lpstr>
      <vt:lpstr>InitialsCounter4</vt:lpstr>
      <vt:lpstr>InitialsCounter5</vt:lpstr>
      <vt:lpstr>InitialsCounter6</vt:lpstr>
      <vt:lpstr>InitialsCounter7</vt:lpstr>
      <vt:lpstr>InitialsCounter8</vt:lpstr>
      <vt:lpstr>InitialsCounter9</vt:lpstr>
      <vt:lpstr>InitialsD1</vt:lpstr>
      <vt:lpstr>InitialsD2</vt:lpstr>
      <vt:lpstr>InitialsD3</vt:lpstr>
      <vt:lpstr>InitialsE1</vt:lpstr>
      <vt:lpstr>InitialsE2</vt:lpstr>
      <vt:lpstr>InitialsE3</vt:lpstr>
      <vt:lpstr>InitialsF1</vt:lpstr>
      <vt:lpstr>InitialsF2</vt:lpstr>
      <vt:lpstr>InitialsF3</vt:lpstr>
      <vt:lpstr>InitialsG1</vt:lpstr>
      <vt:lpstr>InitialsG2</vt:lpstr>
      <vt:lpstr>InitialsG3</vt:lpstr>
      <vt:lpstr>InitialsH1</vt:lpstr>
      <vt:lpstr>InitialsH2</vt:lpstr>
      <vt:lpstr>InitialsH3</vt:lpstr>
      <vt:lpstr>InitialsI1</vt:lpstr>
      <vt:lpstr>InitialsI2</vt:lpstr>
      <vt:lpstr>InitialsI3</vt:lpstr>
      <vt:lpstr>InitialsJ1</vt:lpstr>
      <vt:lpstr>InitialsJ2</vt:lpstr>
      <vt:lpstr>InitialsJ3</vt:lpstr>
      <vt:lpstr>InitialsK1</vt:lpstr>
      <vt:lpstr>InitialsK2</vt:lpstr>
      <vt:lpstr>InitialsK3</vt:lpstr>
      <vt:lpstr>InitialsL1</vt:lpstr>
      <vt:lpstr>InitialsL2</vt:lpstr>
      <vt:lpstr>InitialsL3</vt:lpstr>
      <vt:lpstr>InitialsM1</vt:lpstr>
      <vt:lpstr>InitialsM2</vt:lpstr>
      <vt:lpstr>InitialsM3</vt:lpstr>
      <vt:lpstr>InitialsN1</vt:lpstr>
      <vt:lpstr>InitialsN2</vt:lpstr>
      <vt:lpstr>InitialsN3</vt:lpstr>
      <vt:lpstr>InitialsO1</vt:lpstr>
      <vt:lpstr>InitialsO2</vt:lpstr>
      <vt:lpstr>InitialsO3</vt:lpstr>
      <vt:lpstr>InitialsP1</vt:lpstr>
      <vt:lpstr>InitialsP2</vt:lpstr>
      <vt:lpstr>InitialsP3</vt:lpstr>
      <vt:lpstr>InitialsQ1</vt:lpstr>
      <vt:lpstr>InitialsQ2</vt:lpstr>
      <vt:lpstr>InitialsQ3</vt:lpstr>
      <vt:lpstr>InitialsR1</vt:lpstr>
      <vt:lpstr>InitialsR2</vt:lpstr>
      <vt:lpstr>InitialsR3</vt:lpstr>
      <vt:lpstr>InitialsS1</vt:lpstr>
      <vt:lpstr>InitialsS2</vt:lpstr>
      <vt:lpstr>InitialsS3</vt:lpstr>
      <vt:lpstr>InitialsT1</vt:lpstr>
      <vt:lpstr>InitialsT2</vt:lpstr>
      <vt:lpstr>InitialsT3</vt:lpstr>
      <vt:lpstr>InitialsU1</vt:lpstr>
      <vt:lpstr>InitialsU2</vt:lpstr>
      <vt:lpstr>InitialsU3</vt:lpstr>
      <vt:lpstr>InitialsV1</vt:lpstr>
      <vt:lpstr>InitialsV2</vt:lpstr>
      <vt:lpstr>InitialsV3</vt:lpstr>
      <vt:lpstr>InitialsW1</vt:lpstr>
      <vt:lpstr>InitialsW2</vt:lpstr>
      <vt:lpstr>InitialsW3</vt:lpstr>
      <vt:lpstr>InitialsX1</vt:lpstr>
      <vt:lpstr>InitialsX2</vt:lpstr>
      <vt:lpstr>InitialsX3</vt:lpstr>
      <vt:lpstr>InitialsY1</vt:lpstr>
      <vt:lpstr>InitialsY2</vt:lpstr>
      <vt:lpstr>InitialsY3</vt:lpstr>
      <vt:lpstr>InitialsZ1</vt:lpstr>
      <vt:lpstr>InitialsZ2</vt:lpstr>
      <vt:lpstr>InitialsZ3</vt:lpstr>
      <vt:lpstr>MergeAreaTitles</vt:lpstr>
      <vt:lpstr>PatientsTreatedTwice</vt:lpstr>
      <vt:lpstr>PreviousMonthVisits</vt:lpstr>
      <vt:lpstr>TherapistName1</vt:lpstr>
      <vt:lpstr>TherapistName10</vt:lpstr>
      <vt:lpstr>TherapistName11</vt:lpstr>
      <vt:lpstr>TherapistName12</vt:lpstr>
      <vt:lpstr>TherapistName13</vt:lpstr>
      <vt:lpstr>TherapistName14</vt:lpstr>
      <vt:lpstr>TherapistName15</vt:lpstr>
      <vt:lpstr>TherapistName16</vt:lpstr>
      <vt:lpstr>TherapistName2</vt:lpstr>
      <vt:lpstr>TherapistName3</vt:lpstr>
      <vt:lpstr>TherapistName4</vt:lpstr>
      <vt:lpstr>TherapistName5</vt:lpstr>
      <vt:lpstr>TherapistName6</vt:lpstr>
      <vt:lpstr>TherapistName7</vt:lpstr>
      <vt:lpstr>TherapistName8</vt:lpstr>
      <vt:lpstr>TherapistName9</vt:lpstr>
      <vt:lpstr>Title1</vt:lpstr>
      <vt:lpstr>Title10</vt:lpstr>
      <vt:lpstr>Title11</vt:lpstr>
      <vt:lpstr>Title12</vt:lpstr>
      <vt:lpstr>Title13</vt:lpstr>
      <vt:lpstr>Title14</vt:lpstr>
      <vt:lpstr>Title15</vt:lpstr>
      <vt:lpstr>Title16</vt:lpstr>
      <vt:lpstr>Title2</vt:lpstr>
      <vt:lpstr>Title3</vt:lpstr>
      <vt:lpstr>Title4</vt:lpstr>
      <vt:lpstr>Title5</vt:lpstr>
      <vt:lpstr>Title6</vt:lpstr>
      <vt:lpstr>Title7</vt:lpstr>
      <vt:lpstr>Title8</vt:lpstr>
      <vt:lpstr>Title9</vt:lpstr>
      <vt:lpstr>TotalMinutes</vt:lpstr>
      <vt:lpstr>TotalPatientVisits</vt:lpstr>
      <vt:lpstr>TotalTreatmentMinutesAA</vt:lpstr>
      <vt:lpstr>TotalTreatmentMinutesAB</vt:lpstr>
      <vt:lpstr>TotalTreatmentMinutesAC</vt:lpstr>
      <vt:lpstr>TotalTreatmentMinutesAD</vt:lpstr>
      <vt:lpstr>TotalTreatmentMinutesAE</vt:lpstr>
      <vt:lpstr>TotalTreatmentMinutesAF</vt:lpstr>
      <vt:lpstr>TotalTreatmentMinutesB</vt:lpstr>
      <vt:lpstr>TotalTreatmentMinutesC</vt:lpstr>
      <vt:lpstr>TotalTreatmentMinutesD</vt:lpstr>
      <vt:lpstr>TotalTreatmentMinutesE</vt:lpstr>
      <vt:lpstr>TotalTreatmentMinutesF</vt:lpstr>
      <vt:lpstr>TotalTreatmentMinutesG</vt:lpstr>
      <vt:lpstr>TotalTreatmentMinutesH</vt:lpstr>
      <vt:lpstr>TotalTreatmentMinutesI</vt:lpstr>
      <vt:lpstr>TotalTreatmentMinutesJ</vt:lpstr>
      <vt:lpstr>TotalTreatmentMinutesK</vt:lpstr>
      <vt:lpstr>TotalTreatmentMinutesL</vt:lpstr>
      <vt:lpstr>TotalTreatmentMinutesM</vt:lpstr>
      <vt:lpstr>TotalTreatmentMinutesN</vt:lpstr>
      <vt:lpstr>TotalTreatmentMinutesO</vt:lpstr>
      <vt:lpstr>TotalTreatmentMinutesP</vt:lpstr>
      <vt:lpstr>TotalTreatmentMinutesQ</vt:lpstr>
      <vt:lpstr>TotalTreatmentMinutesR</vt:lpstr>
      <vt:lpstr>TotalTreatmentMinutesS</vt:lpstr>
      <vt:lpstr>TotalTreatmentMinutesT</vt:lpstr>
      <vt:lpstr>TotalTreatmentMinutesU</vt:lpstr>
      <vt:lpstr>TotalTreatmentMinutesV</vt:lpstr>
      <vt:lpstr>TotalTreatmentMinutesW</vt:lpstr>
      <vt:lpstr>TotalTreatmentMinutesX</vt:lpstr>
      <vt:lpstr>TotalTreatmentMinutesY</vt:lpstr>
      <vt:lpstr>TotalTreatmentMinutesZ</vt:lpstr>
      <vt:lpstr>TreatmentFrequency1</vt:lpstr>
      <vt:lpstr>TreatmentFrequency10</vt:lpstr>
      <vt:lpstr>TreatmentFrequency11</vt:lpstr>
      <vt:lpstr>TreatmentFrequency12</vt:lpstr>
      <vt:lpstr>TreatmentFrequency13</vt:lpstr>
      <vt:lpstr>TreatmentFrequency14</vt:lpstr>
      <vt:lpstr>TreatmentFrequency15</vt:lpstr>
      <vt:lpstr>TreatmentFrequency16</vt:lpstr>
      <vt:lpstr>TreatmentFrequency17</vt:lpstr>
      <vt:lpstr>TreatmentFrequency18</vt:lpstr>
      <vt:lpstr>TreatmentFrequency19</vt:lpstr>
      <vt:lpstr>TreatmentFrequency2</vt:lpstr>
      <vt:lpstr>TreatmentFrequency20</vt:lpstr>
      <vt:lpstr>TreatmentFrequency21</vt:lpstr>
      <vt:lpstr>TreatmentFrequency22</vt:lpstr>
      <vt:lpstr>TreatmentFrequency23</vt:lpstr>
      <vt:lpstr>TreatmentFrequency24</vt:lpstr>
      <vt:lpstr>TreatmentFrequency25</vt:lpstr>
      <vt:lpstr>TreatmentFrequency26</vt:lpstr>
      <vt:lpstr>TreatmentFrequency27</vt:lpstr>
      <vt:lpstr>TreatmentFrequency28</vt:lpstr>
      <vt:lpstr>TreatmentFrequency29</vt:lpstr>
      <vt:lpstr>TreatmentFrequency3</vt:lpstr>
      <vt:lpstr>TreatmentFrequency30</vt:lpstr>
      <vt:lpstr>TreatmentFrequency31</vt:lpstr>
      <vt:lpstr>TreatmentFrequency4</vt:lpstr>
      <vt:lpstr>TreatmentFrequency5</vt:lpstr>
      <vt:lpstr>TreatmentFrequency6</vt:lpstr>
      <vt:lpstr>TreatmentFrequency7</vt:lpstr>
      <vt:lpstr>TreatmentFrequency8</vt:lpstr>
      <vt:lpstr>TreatmentFrequency9</vt:lpstr>
      <vt:lpstr>TreatmentMinutesAA</vt:lpstr>
      <vt:lpstr>TreatmentMinutesAB</vt:lpstr>
      <vt:lpstr>TreatmentMinutesAC</vt:lpstr>
      <vt:lpstr>TreatmentMinutesAD</vt:lpstr>
      <vt:lpstr>TreatmentMinutesAE</vt:lpstr>
      <vt:lpstr>TreatmentMinutesAF</vt:lpstr>
      <vt:lpstr>TreatmentMinutesB</vt:lpstr>
      <vt:lpstr>TreatmentMinutesC</vt:lpstr>
      <vt:lpstr>TreatmentMinutesD</vt:lpstr>
      <vt:lpstr>TreatmentMinutesE</vt:lpstr>
      <vt:lpstr>TreatmentMinutesF</vt:lpstr>
      <vt:lpstr>TreatmentMinutesG</vt:lpstr>
      <vt:lpstr>TreatmentMinutesH</vt:lpstr>
      <vt:lpstr>TreatmentMinutesI</vt:lpstr>
      <vt:lpstr>TreatmentMinutesJ</vt:lpstr>
      <vt:lpstr>TreatmentMinutesK</vt:lpstr>
      <vt:lpstr>TreatmentMinutesL</vt:lpstr>
      <vt:lpstr>TreatmentMinutesM</vt:lpstr>
      <vt:lpstr>TreatmentMinutesN</vt:lpstr>
      <vt:lpstr>TreatmentMinutesO</vt:lpstr>
      <vt:lpstr>TreatmentMinutesP</vt:lpstr>
      <vt:lpstr>TreatmentMinutesQ</vt:lpstr>
      <vt:lpstr>TreatmentMinutesR</vt:lpstr>
      <vt:lpstr>TreatmentMinutesS</vt:lpstr>
      <vt:lpstr>TreatmentMinutesT</vt:lpstr>
      <vt:lpstr>TreatmentMinutesU</vt:lpstr>
      <vt:lpstr>TreatmentMinutesV</vt:lpstr>
      <vt:lpstr>TreatmentMinutesW</vt:lpstr>
      <vt:lpstr>TreatmentMinutesX</vt:lpstr>
      <vt:lpstr>TreatmentMinutesY</vt:lpstr>
      <vt:lpstr>TreatmentMinutesZ</vt:lpstr>
      <vt:lpstr>Trial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Blaine, John</cp:lastModifiedBy>
  <cp:lastPrinted>2016-09-08T21:31:06Z</cp:lastPrinted>
  <dcterms:created xsi:type="dcterms:W3CDTF">2006-09-16T00:00:00Z</dcterms:created>
  <dcterms:modified xsi:type="dcterms:W3CDTF">2017-04-30T15:26:30Z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0a48ff2d-4efb-4a21-a051-c0be17483f53</vt:lpwstr>
  </property>
</Properties>
</file>