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60" yWindow="60" windowWidth="12540" windowHeight="11700"/>
  </bookViews>
  <sheets>
    <sheet name="Commands" sheetId="1" r:id="rId1"/>
    <sheet name="Sheet1" sheetId="24" state="hidden" r:id="rId2"/>
  </sheets>
  <definedNames>
    <definedName name="Column2StartAA">Sheet1!$AA$18</definedName>
    <definedName name="Column2StartAB">Sheet1!$AB$18</definedName>
    <definedName name="Column2StartAC">Sheet1!$AC$18</definedName>
    <definedName name="Column2StartAD">Sheet1!$AD$18</definedName>
    <definedName name="Column2StartAE">Sheet1!$AE$18</definedName>
    <definedName name="Column2StartAF">Sheet1!$AF$18</definedName>
    <definedName name="Column2StartB">Sheet1!$B$18</definedName>
    <definedName name="Column2StartC">Sheet1!$C$18</definedName>
    <definedName name="Column2StartD">Sheet1!$D$18</definedName>
    <definedName name="Column2StartE">Sheet1!$E$18</definedName>
    <definedName name="Column2StartF">Sheet1!$F$18</definedName>
    <definedName name="Column2StartG">Sheet1!$G$18</definedName>
    <definedName name="Column2StartH">Sheet1!$H$18</definedName>
    <definedName name="Column2StartI">Sheet1!$I$18</definedName>
    <definedName name="Column2StartJ">Sheet1!$J$18</definedName>
    <definedName name="Column2StartK">Sheet1!$K$18</definedName>
    <definedName name="Column2StartL">Sheet1!$L$18</definedName>
    <definedName name="Column2StartM">Sheet1!$M$18</definedName>
    <definedName name="Column2StartN">Sheet1!$N$18</definedName>
    <definedName name="Column2StartO">Sheet1!$O$18</definedName>
    <definedName name="Column2StartP">Sheet1!$P$18</definedName>
    <definedName name="Column2StartQ">Sheet1!$Q$18</definedName>
    <definedName name="Column2StartR">Sheet1!$R$18</definedName>
    <definedName name="Column2StartS">Sheet1!$S$18</definedName>
    <definedName name="Column2StartT">Sheet1!$T$18</definedName>
    <definedName name="Column2StartU">Sheet1!$U$18</definedName>
    <definedName name="Column2StartV">Sheet1!$V$18</definedName>
    <definedName name="Column2StartW">Sheet1!$W$18</definedName>
    <definedName name="Column2StartX">Sheet1!$X$18</definedName>
    <definedName name="Column2StartY">Sheet1!$Y$18</definedName>
    <definedName name="Column2StartZ">Sheet1!$Z$18</definedName>
    <definedName name="ColumnEndAA">Sheet1!$AA$23</definedName>
    <definedName name="ColumnEndAB">Sheet1!$AB$23</definedName>
    <definedName name="ColumnEndAC">Sheet1!$AC$23</definedName>
    <definedName name="ColumnEndAD">Sheet1!$AD$23</definedName>
    <definedName name="ColumnEndAE">Sheet1!$AE$23</definedName>
    <definedName name="ColumnEndAF">Sheet1!$AF$23</definedName>
    <definedName name="ColumnEndB">Sheet1!$B$23</definedName>
    <definedName name="ColumnEndC">Sheet1!$C$23</definedName>
    <definedName name="ColumnEndD">Sheet1!$D$23</definedName>
    <definedName name="ColumnEndE">Sheet1!$E$23</definedName>
    <definedName name="ColumnEndF">Sheet1!$F$23</definedName>
    <definedName name="ColumnEndG">Sheet1!$G$23</definedName>
    <definedName name="ColumnEndH">Sheet1!$H$23</definedName>
    <definedName name="ColumnEndI">Sheet1!$I$23</definedName>
    <definedName name="ColumnEndJ">Sheet1!$J$23</definedName>
    <definedName name="ColumnEndK">Sheet1!$K$23</definedName>
    <definedName name="ColumnEndL">Sheet1!$L$23</definedName>
    <definedName name="ColumnEndM">Sheet1!$M$23</definedName>
    <definedName name="ColumnEndN">Sheet1!$N$23</definedName>
    <definedName name="ColumnEndO">Sheet1!$O$23</definedName>
    <definedName name="ColumnEndP">Sheet1!$P$23</definedName>
    <definedName name="ColumnEndQ">Sheet1!$Q$23</definedName>
    <definedName name="ColumnEndR">Sheet1!$R$23</definedName>
    <definedName name="ColumnEndS">Sheet1!$S$23</definedName>
    <definedName name="ColumnEndT">Sheet1!$T$23</definedName>
    <definedName name="ColumnEndU">Sheet1!$U$23</definedName>
    <definedName name="ColumnEndV">Sheet1!$V$23</definedName>
    <definedName name="ColumnEndW">Sheet1!$W$23</definedName>
    <definedName name="ColumnEndX">Sheet1!$X$23</definedName>
    <definedName name="ColumnEndY">Sheet1!$Y$23</definedName>
    <definedName name="ColumnEndZ">Sheet1!$Z$23</definedName>
    <definedName name="ColumnStartAA">Sheet1!$AA$8</definedName>
    <definedName name="ColumnStartAB">Sheet1!$AB$8</definedName>
    <definedName name="ColumnStartAC">Sheet1!$AC$8</definedName>
    <definedName name="ColumnStartAD">Sheet1!$AD$8</definedName>
    <definedName name="ColumnStartAE">Sheet1!$AE$8</definedName>
    <definedName name="ColumnStartAF">Sheet1!$AF$8</definedName>
    <definedName name="ColumnStartB">Sheet1!$B$8</definedName>
    <definedName name="ColumnStartC">Sheet1!$C$8</definedName>
    <definedName name="ColumnStartD">Sheet1!$D$8</definedName>
    <definedName name="ColumnStartE">Sheet1!$E$8</definedName>
    <definedName name="ColumnStartF">Sheet1!$F$8</definedName>
    <definedName name="ColumnStartG">Sheet1!$G$8</definedName>
    <definedName name="ColumnStartH">Sheet1!$H$8</definedName>
    <definedName name="ColumnStartI">Sheet1!$I$8</definedName>
    <definedName name="ColumnStartJ">Sheet1!$J$8</definedName>
    <definedName name="ColumnStartK">Sheet1!$K$8</definedName>
    <definedName name="ColumnStartL">Sheet1!$L$8</definedName>
    <definedName name="ColumnStartM">Sheet1!$M$8</definedName>
    <definedName name="ColumnStartN">Sheet1!$N$8</definedName>
    <definedName name="ColumnStartO">Sheet1!$O$8</definedName>
    <definedName name="ColumnStartP">Sheet1!$P$8</definedName>
    <definedName name="ColumnStartQ">Sheet1!$Q$8</definedName>
    <definedName name="ColumnStartR">Sheet1!$R$8</definedName>
    <definedName name="ColumnStartS">Sheet1!$S$8</definedName>
    <definedName name="ColumnStartT">Sheet1!$T$8</definedName>
    <definedName name="ColumnStartU">Sheet1!$U$8</definedName>
    <definedName name="ColumnStartV">Sheet1!$V$8</definedName>
    <definedName name="ColumnStartW">Sheet1!$W$8</definedName>
    <definedName name="ColumnStartX">Sheet1!$X$8</definedName>
    <definedName name="ColumnStartY">Sheet1!$Y$8</definedName>
    <definedName name="ColumnStartZ">Sheet1!$Z$8</definedName>
    <definedName name="CurrentMonthVisits">Sheet1!$AG$29</definedName>
    <definedName name="Initials1">Sheet1!$L$31</definedName>
    <definedName name="Initials10">Sheet1!$AB$32</definedName>
    <definedName name="Initials11">Sheet1!$AB$33</definedName>
    <definedName name="Initials12">Sheet1!$AB$34</definedName>
    <definedName name="Initials13">Sheet1!$AB$35</definedName>
    <definedName name="Initials14">Sheet1!$AB$36</definedName>
    <definedName name="Initials15">Sheet1!$AB$37</definedName>
    <definedName name="Initials16">Sheet1!$AB$38</definedName>
    <definedName name="Initials2">Sheet1!$L$32</definedName>
    <definedName name="Initials3">Sheet1!$L$33</definedName>
    <definedName name="Initials4">Sheet1!$L$34</definedName>
    <definedName name="Initials5">Sheet1!$L$35</definedName>
    <definedName name="Initials6">Sheet1!$L$36</definedName>
    <definedName name="Initials7">Sheet1!$L$37</definedName>
    <definedName name="Initials8">Sheet1!$L$38</definedName>
    <definedName name="Initials9">Sheet1!$AB$31</definedName>
    <definedName name="InitialsAA1">Sheet1!$AA$26</definedName>
    <definedName name="InitialsAA2">Sheet1!$AA$27</definedName>
    <definedName name="InitialsAA3">Sheet1!$AA$28</definedName>
    <definedName name="InitialsAB1">Sheet1!$AB$26</definedName>
    <definedName name="InitialsAB2">Sheet1!$AB$27</definedName>
    <definedName name="InitialsAB3">Sheet1!$AB$28</definedName>
    <definedName name="InitialsAC1">Sheet1!$AC$26</definedName>
    <definedName name="InitialsAC2">Sheet1!$AC$27</definedName>
    <definedName name="InitialsAC3">Sheet1!$AC$28</definedName>
    <definedName name="InitialsAD1">Sheet1!$AD$26</definedName>
    <definedName name="InitialsAD2">Sheet1!$AD$27</definedName>
    <definedName name="InitialsAD3">Sheet1!$AD$28</definedName>
    <definedName name="InitialsAE1">Sheet1!$AE$26</definedName>
    <definedName name="InitialsAE2">Sheet1!$AE$27</definedName>
    <definedName name="InitialsAE3">Sheet1!$AE$28</definedName>
    <definedName name="InitialsAF1">Sheet1!$AF$26</definedName>
    <definedName name="InitialsAF2">Sheet1!$AF$27</definedName>
    <definedName name="InitialsAF3">Sheet1!$AF$28</definedName>
    <definedName name="InitialsB1">Sheet1!$B$26</definedName>
    <definedName name="InitialsB2">Sheet1!$B$27</definedName>
    <definedName name="InitialsB3">Sheet1!$B$28</definedName>
    <definedName name="InitialsC1">Sheet1!$C$26</definedName>
    <definedName name="InitialsC2">Sheet1!$C$27</definedName>
    <definedName name="InitialsC3">Sheet1!$C$28</definedName>
    <definedName name="InitialsCounter1">Sheet1!$A$74</definedName>
    <definedName name="InitialsCounter10">Sheet1!$A$83</definedName>
    <definedName name="InitialsCounter11">Sheet1!$A$84</definedName>
    <definedName name="InitialsCounter12">Sheet1!$A$85</definedName>
    <definedName name="InitialsCounter13">Sheet1!$A$86</definedName>
    <definedName name="InitialsCounter14">Sheet1!$A$87</definedName>
    <definedName name="InitialsCounter15">Sheet1!$A$88</definedName>
    <definedName name="InitialsCounter16">Sheet1!$A$89</definedName>
    <definedName name="InitialsCounter2">Sheet1!$A$75</definedName>
    <definedName name="InitialsCounter3">Sheet1!$A$76</definedName>
    <definedName name="InitialsCounter4">Sheet1!$A$77</definedName>
    <definedName name="InitialsCounter5">Sheet1!$A$78</definedName>
    <definedName name="InitialsCounter6">Sheet1!$A$79</definedName>
    <definedName name="InitialsCounter7">Sheet1!$A$80</definedName>
    <definedName name="InitialsCounter8">Sheet1!$A$81</definedName>
    <definedName name="InitialsCounter9">Sheet1!$A$82</definedName>
    <definedName name="InitialsD1">Sheet1!$D$26</definedName>
    <definedName name="InitialsD2">Sheet1!$D$27</definedName>
    <definedName name="InitialsD3">Sheet1!$D$28</definedName>
    <definedName name="InitialsE1">Sheet1!$E$26</definedName>
    <definedName name="InitialsE2">Sheet1!$E$27</definedName>
    <definedName name="InitialsE3">Sheet1!$E$28</definedName>
    <definedName name="InitialsF1">Sheet1!$F$26</definedName>
    <definedName name="InitialsF2">Sheet1!$F$27</definedName>
    <definedName name="InitialsF3">Sheet1!$F$28</definedName>
    <definedName name="InitialsG1">Sheet1!$G$26</definedName>
    <definedName name="InitialsG2">Sheet1!$G$27</definedName>
    <definedName name="InitialsG3">Sheet1!$G$28</definedName>
    <definedName name="InitialsH1">Sheet1!$H$26</definedName>
    <definedName name="InitialsH2">Sheet1!$H$27</definedName>
    <definedName name="InitialsH3">Sheet1!$H$28</definedName>
    <definedName name="InitialsI1">Sheet1!$I$26</definedName>
    <definedName name="InitialsI2">Sheet1!$I$27</definedName>
    <definedName name="InitialsI3">Sheet1!$I$28</definedName>
    <definedName name="InitialsJ1">Sheet1!$J$26</definedName>
    <definedName name="InitialsJ2">Sheet1!$J$27</definedName>
    <definedName name="InitialsJ3">Sheet1!$J$28</definedName>
    <definedName name="InitialsK1">Sheet1!$K$26</definedName>
    <definedName name="InitialsK2">Sheet1!$K$27</definedName>
    <definedName name="InitialsK3">Sheet1!$K$28</definedName>
    <definedName name="InitialsL1">Sheet1!$L$26</definedName>
    <definedName name="InitialsL2">Sheet1!$L$27</definedName>
    <definedName name="InitialsL3">Sheet1!$L$28</definedName>
    <definedName name="InitialsM1">Sheet1!$M$26</definedName>
    <definedName name="InitialsM2">Sheet1!$M$27</definedName>
    <definedName name="InitialsM3">Sheet1!$M$28</definedName>
    <definedName name="InitialsN1">Sheet1!$N$26</definedName>
    <definedName name="InitialsN2">Sheet1!$N$27</definedName>
    <definedName name="InitialsN3">Sheet1!$N$28</definedName>
    <definedName name="InitialsO1">Sheet1!$O$26</definedName>
    <definedName name="InitialsO2">Sheet1!$O$27</definedName>
    <definedName name="InitialsO3">Sheet1!$O$28</definedName>
    <definedName name="InitialsP1">Sheet1!$P$26</definedName>
    <definedName name="InitialsP2">Sheet1!$P$27</definedName>
    <definedName name="InitialsP3">Sheet1!$P$28</definedName>
    <definedName name="InitialsQ1">Sheet1!$Q$26</definedName>
    <definedName name="InitialsQ2">Sheet1!$Q$27</definedName>
    <definedName name="InitialsQ3">Sheet1!$Q$28</definedName>
    <definedName name="InitialsR1">Sheet1!$R$26</definedName>
    <definedName name="InitialsR2">Sheet1!$R$27</definedName>
    <definedName name="InitialsR3">Sheet1!$R$28</definedName>
    <definedName name="InitialsS1">Sheet1!$S$26</definedName>
    <definedName name="InitialsS2">Sheet1!$S$27</definedName>
    <definedName name="InitialsS3">Sheet1!$S$28</definedName>
    <definedName name="InitialsT1">Sheet1!$T$26</definedName>
    <definedName name="InitialsT2">Sheet1!$T$27</definedName>
    <definedName name="InitialsT3">Sheet1!$T$28</definedName>
    <definedName name="InitialsU1">Sheet1!$U$26</definedName>
    <definedName name="InitialsU2">Sheet1!$U$27</definedName>
    <definedName name="InitialsU3">Sheet1!$U$28</definedName>
    <definedName name="InitialsV1">Sheet1!$V$26</definedName>
    <definedName name="InitialsV2">Sheet1!$V$27</definedName>
    <definedName name="InitialsV3">Sheet1!$V$28</definedName>
    <definedName name="InitialsW1">Sheet1!$W$26</definedName>
    <definedName name="InitialsW2">Sheet1!$W$27</definedName>
    <definedName name="InitialsW3">Sheet1!$W$28</definedName>
    <definedName name="InitialsX1">Sheet1!$X$26</definedName>
    <definedName name="InitialsX2">Sheet1!$X$27</definedName>
    <definedName name="InitialsX3">Sheet1!$X$28</definedName>
    <definedName name="InitialsY1">Sheet1!$Y$26</definedName>
    <definedName name="InitialsY2">Sheet1!$Y$27</definedName>
    <definedName name="InitialsY3">Sheet1!$Y$28</definedName>
    <definedName name="InitialsZ1">Sheet1!$Z$26</definedName>
    <definedName name="InitialsZ2">Sheet1!$Z$27</definedName>
    <definedName name="InitialsZ3">Sheet1!$Z$28</definedName>
    <definedName name="MergeAreaTitles">Sheet1!$B$31:$AG$38</definedName>
    <definedName name="PreviousMonthVisits">Sheet1!$AB$29</definedName>
    <definedName name="TherapistName1">Sheet1!$B$31</definedName>
    <definedName name="TherapistName10">Sheet1!$R$32</definedName>
    <definedName name="TherapistName11">Sheet1!$R$33</definedName>
    <definedName name="TherapistName12">Sheet1!$R$34</definedName>
    <definedName name="TherapistName13">Sheet1!$R$35</definedName>
    <definedName name="TherapistName14">Sheet1!$R$36</definedName>
    <definedName name="TherapistName15">Sheet1!$R$37</definedName>
    <definedName name="TherapistName16">Sheet1!$R$38</definedName>
    <definedName name="TherapistName2">Sheet1!$B$32</definedName>
    <definedName name="TherapistName3">Sheet1!$B$33</definedName>
    <definedName name="TherapistName4">Sheet1!$B$34</definedName>
    <definedName name="TherapistName5">Sheet1!$B$35</definedName>
    <definedName name="TherapistName6">Sheet1!$B$36</definedName>
    <definedName name="TherapistName7">Sheet1!$B$37</definedName>
    <definedName name="TherapistName8">Sheet1!$B$38</definedName>
    <definedName name="TherapistName9">Sheet1!$R$31</definedName>
    <definedName name="Title1">Sheet1!$N$31</definedName>
    <definedName name="Title10">Sheet1!$AD$32</definedName>
    <definedName name="Title11">Sheet1!$AD$33</definedName>
    <definedName name="Title12">Sheet1!$AD$34</definedName>
    <definedName name="Title13">Sheet1!$AD$35</definedName>
    <definedName name="Title14">Sheet1!$AD$36</definedName>
    <definedName name="Title15">Sheet1!$AD$37</definedName>
    <definedName name="Title16">Sheet1!$AD$38</definedName>
    <definedName name="Title2">Sheet1!$N$32</definedName>
    <definedName name="Title3">Sheet1!$N$33</definedName>
    <definedName name="Title4">Sheet1!$N$34</definedName>
    <definedName name="Title5">Sheet1!$N$35</definedName>
    <definedName name="Title6">Sheet1!$N$36</definedName>
    <definedName name="Title7">Sheet1!$N$37</definedName>
    <definedName name="Title8">Sheet1!$N$38</definedName>
    <definedName name="Title9">Sheet1!$AD$31</definedName>
    <definedName name="TotalMinutes">Sheet1!$AG$25</definedName>
    <definedName name="TotalTreatmentMinutesAA">Sheet1!$AA$25</definedName>
    <definedName name="TotalTreatmentMinutesAB">Sheet1!$AB$25</definedName>
    <definedName name="TotalTreatmentMinutesAC">Sheet1!$AC$25</definedName>
    <definedName name="TotalTreatmentMinutesAD">Sheet1!$AD$25</definedName>
    <definedName name="TotalTreatmentMinutesAE">Sheet1!$AE$25</definedName>
    <definedName name="TotalTreatmentMinutesAF">Sheet1!$AF$25</definedName>
    <definedName name="TotalTreatmentMinutesB">Sheet1!$B$25</definedName>
    <definedName name="TotalTreatmentMinutesC">Sheet1!$C$25</definedName>
    <definedName name="TotalTreatmentMinutesD">Sheet1!$D$25</definedName>
    <definedName name="TotalTreatmentMinutesE">Sheet1!$E$25</definedName>
    <definedName name="TotalTreatmentMinutesF">Sheet1!$F$25</definedName>
    <definedName name="TotalTreatmentMinutesG">Sheet1!$G$25</definedName>
    <definedName name="TotalTreatmentMinutesH">Sheet1!$H$25</definedName>
    <definedName name="TotalTreatmentMinutesI">Sheet1!$I$25</definedName>
    <definedName name="TotalTreatmentMinutesJ">Sheet1!$J$25</definedName>
    <definedName name="TotalTreatmentMinutesK">Sheet1!$K$25</definedName>
    <definedName name="TotalTreatmentMinutesL">Sheet1!$L$25</definedName>
    <definedName name="TotalTreatmentMinutesM">Sheet1!$M$25</definedName>
    <definedName name="TotalTreatmentMinutesN">Sheet1!$N$25</definedName>
    <definedName name="TotalTreatmentMinutesO">Sheet1!$O$25</definedName>
    <definedName name="TotalTreatmentMinutesP">Sheet1!$P$25</definedName>
    <definedName name="TotalTreatmentMinutesQ">Sheet1!$Q$25</definedName>
    <definedName name="TotalTreatmentMinutesR">Sheet1!$R$25</definedName>
    <definedName name="TotalTreatmentMinutesS">Sheet1!$S$25</definedName>
    <definedName name="TotalTreatmentMinutesT">Sheet1!$T$25</definedName>
    <definedName name="TotalTreatmentMinutesU">Sheet1!$U$25</definedName>
    <definedName name="TotalTreatmentMinutesV">Sheet1!$V$25</definedName>
    <definedName name="TotalTreatmentMinutesW">Sheet1!$W$25</definedName>
    <definedName name="TotalTreatmentMinutesX">Sheet1!$X$25</definedName>
    <definedName name="TotalTreatmentMinutesY">Sheet1!$Y$25</definedName>
    <definedName name="TotalTreatmentMinutesZ">Sheet1!$Z$25</definedName>
    <definedName name="TreatmentFrequency1">Sheet1!$B$42</definedName>
    <definedName name="TreatmentFrequency10">Sheet1!$K$42</definedName>
    <definedName name="TreatmentFrequency11">Sheet1!$L$42</definedName>
    <definedName name="TreatmentFrequency12">Sheet1!$M$42</definedName>
    <definedName name="TreatmentFrequency13">Sheet1!$N$42</definedName>
    <definedName name="TreatmentFrequency14">Sheet1!$O$42</definedName>
    <definedName name="TreatmentFrequency15">Sheet1!$P$42</definedName>
    <definedName name="TreatmentFrequency16">Sheet1!$Q$42</definedName>
    <definedName name="TreatmentFrequency17">Sheet1!$R$42</definedName>
    <definedName name="TreatmentFrequency18">Sheet1!$S$42</definedName>
    <definedName name="TreatmentFrequency19">Sheet1!$T$42</definedName>
    <definedName name="TreatmentFrequency2">Sheet1!$C$42</definedName>
    <definedName name="TreatmentFrequency20">Sheet1!$U$42</definedName>
    <definedName name="TreatmentFrequency21">Sheet1!$V$42</definedName>
    <definedName name="TreatmentFrequency22">Sheet1!$W$42</definedName>
    <definedName name="TreatmentFrequency23">Sheet1!$X$42</definedName>
    <definedName name="TreatmentFrequency24">Sheet1!$Y$42</definedName>
    <definedName name="TreatmentFrequency25">Sheet1!$Z$42</definedName>
    <definedName name="TreatmentFrequency26">Sheet1!$AA$42</definedName>
    <definedName name="TreatmentFrequency27">Sheet1!$AB$42</definedName>
    <definedName name="TreatmentFrequency28">Sheet1!$AC$42</definedName>
    <definedName name="TreatmentFrequency29">Sheet1!$AD$42</definedName>
    <definedName name="TreatmentFrequency3">Sheet1!$D$42</definedName>
    <definedName name="TreatmentFrequency30">Sheet1!$AE$42</definedName>
    <definedName name="TreatmentFrequency31">Sheet1!$AF$42</definedName>
    <definedName name="TreatmentFrequency4">Sheet1!$E$42</definedName>
    <definedName name="TreatmentFrequency5">Sheet1!$F$42</definedName>
    <definedName name="TreatmentFrequency6">Sheet1!$G$42</definedName>
    <definedName name="TreatmentFrequency7">Sheet1!$H$42</definedName>
    <definedName name="TreatmentFrequency8">Sheet1!$I$42</definedName>
    <definedName name="TreatmentFrequency9">Sheet1!$J$42</definedName>
    <definedName name="TreatmentMinutesAA">Sheet1!$AA$24</definedName>
    <definedName name="TreatmentMinutesAB">Sheet1!$AB$24</definedName>
    <definedName name="TreatmentMinutesAC">Sheet1!$AC$24</definedName>
    <definedName name="TreatmentMinutesAD">Sheet1!$AD$24</definedName>
    <definedName name="TreatmentMinutesAE">Sheet1!$AE$24</definedName>
    <definedName name="TreatmentMinutesAF">Sheet1!$AF$24</definedName>
    <definedName name="TreatmentMinutesB">Sheet1!$B$24</definedName>
    <definedName name="TreatmentMinutesC">Sheet1!$C$24</definedName>
    <definedName name="TreatmentMinutesD">Sheet1!$D$24</definedName>
    <definedName name="TreatmentMinutesE">Sheet1!$E$24</definedName>
    <definedName name="TreatmentMinutesF">Sheet1!$F$24</definedName>
    <definedName name="TreatmentMinutesG">Sheet1!$G$24</definedName>
    <definedName name="TreatmentMinutesH">Sheet1!$H$24</definedName>
    <definedName name="TreatmentMinutesI">Sheet1!$I$24</definedName>
    <definedName name="TreatmentMinutesJ">Sheet1!$J$24</definedName>
    <definedName name="TreatmentMinutesK">Sheet1!$K$24</definedName>
    <definedName name="TreatmentMinutesL">Sheet1!$L$24</definedName>
    <definedName name="TreatmentMinutesM">Sheet1!$M$24</definedName>
    <definedName name="TreatmentMinutesN">Sheet1!$N$24</definedName>
    <definedName name="TreatmentMinutesO">Sheet1!$O$24</definedName>
    <definedName name="TreatmentMinutesP">Sheet1!$P$24</definedName>
    <definedName name="TreatmentMinutesQ">Sheet1!$Q$24</definedName>
    <definedName name="TreatmentMinutesR">Sheet1!$R$24</definedName>
    <definedName name="TreatmentMinutesS">Sheet1!$S$24</definedName>
    <definedName name="TreatmentMinutesT">Sheet1!$T$24</definedName>
    <definedName name="TreatmentMinutesU">Sheet1!$U$24</definedName>
    <definedName name="TreatmentMinutesV">Sheet1!$V$24</definedName>
    <definedName name="TreatmentMinutesW">Sheet1!$W$24</definedName>
    <definedName name="TreatmentMinutesX">Sheet1!$X$24</definedName>
    <definedName name="TreatmentMinutesY">Sheet1!$Y$24</definedName>
    <definedName name="TreatmentMinutesZ">Sheet1!$Z$24</definedName>
  </definedNames>
  <calcPr calcId="145621"/>
</workbook>
</file>

<file path=xl/calcChain.xml><?xml version="1.0" encoding="utf-8"?>
<calcChain xmlns="http://schemas.openxmlformats.org/spreadsheetml/2006/main">
  <c r="I46" i="24" l="1"/>
  <c r="AG29" i="24" l="1"/>
  <c r="I45" i="24" s="1"/>
  <c r="AF24" i="24" l="1"/>
  <c r="AF25" i="24" s="1"/>
  <c r="AE24" i="24"/>
  <c r="AE25" i="24" s="1"/>
  <c r="AD24" i="24"/>
  <c r="AD25" i="24" s="1"/>
  <c r="AC24" i="24"/>
  <c r="AC25" i="24" s="1"/>
  <c r="AB24" i="24"/>
  <c r="AB25" i="24" s="1"/>
  <c r="AA24" i="24"/>
  <c r="AA25" i="24" s="1"/>
  <c r="Z24" i="24"/>
  <c r="Z25" i="24" s="1"/>
  <c r="Y24" i="24"/>
  <c r="Y25" i="24" s="1"/>
  <c r="X24" i="24"/>
  <c r="X25" i="24" s="1"/>
  <c r="W24" i="24"/>
  <c r="W25" i="24" s="1"/>
  <c r="V24" i="24"/>
  <c r="V25" i="24" s="1"/>
  <c r="U24" i="24"/>
  <c r="U25" i="24" s="1"/>
  <c r="T24" i="24"/>
  <c r="T25" i="24" s="1"/>
  <c r="S24" i="24"/>
  <c r="S25" i="24" s="1"/>
  <c r="R24" i="24"/>
  <c r="R25" i="24" s="1"/>
  <c r="Q24" i="24"/>
  <c r="Q25" i="24" s="1"/>
  <c r="P24" i="24"/>
  <c r="P25" i="24" s="1"/>
  <c r="O24" i="24"/>
  <c r="O25" i="24" s="1"/>
  <c r="N24" i="24"/>
  <c r="N25" i="24" s="1"/>
  <c r="L24" i="24"/>
  <c r="L25" i="24" s="1"/>
  <c r="M24" i="24"/>
  <c r="M25" i="24" s="1"/>
  <c r="K24" i="24"/>
  <c r="K25" i="24" s="1"/>
  <c r="J24" i="24"/>
  <c r="J25" i="24" s="1"/>
  <c r="I24" i="24"/>
  <c r="I25" i="24" s="1"/>
  <c r="H24" i="24"/>
  <c r="H25" i="24" s="1"/>
  <c r="G24" i="24"/>
  <c r="G25" i="24" s="1"/>
  <c r="F24" i="24"/>
  <c r="F25" i="24" s="1"/>
  <c r="E24" i="24"/>
  <c r="E25" i="24" s="1"/>
  <c r="A89" i="24" l="1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B24" i="24" l="1"/>
  <c r="B25" i="24" s="1"/>
  <c r="D24" i="24"/>
  <c r="D25" i="24" s="1"/>
  <c r="C24" i="24"/>
  <c r="C25" i="24" s="1"/>
  <c r="AG25" i="24" l="1"/>
  <c r="A20" i="1" l="1"/>
  <c r="A19" i="1"/>
  <c r="G10" i="1" l="1"/>
  <c r="E10" i="1"/>
  <c r="A10" i="1" l="1"/>
  <c r="A8" i="1" l="1"/>
</calcChain>
</file>

<file path=xl/sharedStrings.xml><?xml version="1.0" encoding="utf-8"?>
<sst xmlns="http://schemas.openxmlformats.org/spreadsheetml/2006/main" count="79" uniqueCount="75">
  <si>
    <t>Columbine Therapy Services --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</si>
  <si>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</si>
  <si>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</si>
  <si>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</si>
  <si>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</si>
  <si>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</si>
  <si>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</si>
  <si>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Month/Year: 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</si>
  <si>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</si>
  <si>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</si>
  <si>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</si>
  <si>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</si>
  <si>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</si>
  <si>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</si>
  <si>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</si>
  <si>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 xml:space="preserve">Total Mins </t>
  </si>
  <si>
    <t>Initials</t>
  </si>
  <si>
    <t>A. Dr Appt</t>
  </si>
  <si>
    <t>B. Ill/Pain</t>
  </si>
  <si>
    <t>C. Med Hold</t>
  </si>
  <si>
    <t>D. Other</t>
  </si>
  <si>
    <t>Therapist's Name (Print)</t>
  </si>
  <si>
    <t>Title</t>
  </si>
  <si>
    <t>Jan</t>
  </si>
  <si>
    <t>Feb</t>
  </si>
  <si>
    <t>Apr</t>
  </si>
  <si>
    <t>May</t>
  </si>
  <si>
    <t>Aug</t>
  </si>
  <si>
    <t>Oct</t>
  </si>
  <si>
    <t>Nov</t>
  </si>
  <si>
    <t>Dec</t>
  </si>
  <si>
    <t>Sep</t>
  </si>
  <si>
    <t>Jun</t>
  </si>
  <si>
    <t>Jul</t>
  </si>
  <si>
    <t>Mar</t>
  </si>
  <si>
    <t>Month</t>
  </si>
  <si>
    <t>Year</t>
  </si>
  <si>
    <t>&lt;-- That is a button!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</si>
  <si>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</si>
  <si>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</si>
  <si>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t>Month:</t>
  </si>
  <si>
    <t>Year:</t>
  </si>
  <si>
    <t>Patient First Name:</t>
  </si>
  <si>
    <t>Patient Last Name:</t>
  </si>
  <si>
    <t>INSTRUCTIONS:</t>
  </si>
  <si>
    <t>Use the drop-down lists to select a month and year,</t>
  </si>
  <si>
    <r>
      <t>"Create Therapy Log" button at the top.</t>
    </r>
    <r>
      <rPr>
        <b/>
        <sz val="11"/>
        <color theme="1"/>
        <rFont val="Calibri"/>
        <family val="2"/>
        <scheme val="minor"/>
      </rPr>
      <t/>
    </r>
  </si>
  <si>
    <t xml:space="preserve"> Speech Language Pathology Treatment Encounter Note</t>
  </si>
  <si>
    <t>Speech Therapy Rx</t>
  </si>
  <si>
    <t>Attendance Code:</t>
  </si>
  <si>
    <t xml:space="preserve">92521:Eval of Speech Fluency (S) </t>
  </si>
  <si>
    <t>92522:Eval of Speech Prod (S)</t>
  </si>
  <si>
    <t>92523: Eval of Speech Prod w/Eval of Lang (S)</t>
  </si>
  <si>
    <t>92524: Eval of Voice and Resonance (S)</t>
  </si>
  <si>
    <t>92607:Eval prosth/AA comm. (S)</t>
  </si>
  <si>
    <t>92610: Eval swallow/oral fct (S)</t>
  </si>
  <si>
    <t>92507: Tx speech, aural, etc (S)</t>
  </si>
  <si>
    <t>92526: Tx swallow/oral dysfct (S)</t>
  </si>
  <si>
    <t>96105:Assess aphasia(T)</t>
  </si>
  <si>
    <t>97532: Develop cognitive skills (T)</t>
  </si>
  <si>
    <t>97110: Therapeutic Exercise (T)</t>
  </si>
  <si>
    <t>97533: Sensory integration (T)</t>
  </si>
  <si>
    <t>97530: Therapeutic Activities (T)</t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</si>
  <si>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</si>
  <si>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</si>
  <si>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and input the patient's last name and first name. Next, push the</t>
  </si>
  <si>
    <t>Centre Ave Health &amp; Rehab</t>
  </si>
  <si>
    <t>Total treatment mins/MDS (timed and untimed tx)</t>
  </si>
  <si>
    <t>Timed treatment minutes</t>
  </si>
  <si>
    <t>96125: Standardized cognitive performance testing (T)</t>
  </si>
  <si>
    <t>Total Days Patient Seen:</t>
  </si>
  <si>
    <t># of Days Patient Seen Twice:</t>
  </si>
  <si>
    <t>(updated 03/08/2017)</t>
  </si>
  <si>
    <t>Is this a UCHealth patient?</t>
  </si>
  <si>
    <t>Is this an orthopedic patient?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</si>
</sst>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-yy;@"/>
    <numFmt numFmtId="165" formatCode="mmm\ yy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sz val="9"/>
      <color indexed="8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161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1" fillId="0" borderId="10" xfId="1" applyBorder="1" applyProtection="1"/>
    <xf numFmtId="0" fontId="8" fillId="0" borderId="13" xfId="1" applyFont="1" applyBorder="1" applyAlignment="1" applyProtection="1">
      <alignment horizontal="center" vertical="center" wrapText="1"/>
    </xf>
    <xf numFmtId="0" fontId="7" fillId="0" borderId="15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16" xfId="1" applyBorder="1" applyAlignment="1" applyProtection="1"/>
    <xf numFmtId="0" fontId="1" fillId="0" borderId="0" xfId="1" applyProtection="1"/>
    <xf numFmtId="0" fontId="4" fillId="0" borderId="0" xfId="1" applyFont="1" applyProtection="1"/>
    <xf numFmtId="0" fontId="0" fillId="3" borderId="0" xfId="0" applyFill="1" applyBorder="1" applyProtection="1"/>
    <xf numFmtId="0" fontId="14" fillId="3" borderId="3" xfId="0" applyFont="1" applyFill="1" applyBorder="1" applyAlignment="1" applyProtection="1">
      <alignment horizontal="center" vertical="center"/>
    </xf>
    <xf numFmtId="0" fontId="10" fillId="3" borderId="7" xfId="0" applyFont="1" applyFill="1" applyBorder="1" applyProtection="1"/>
    <xf numFmtId="0" fontId="14" fillId="3" borderId="5" xfId="0" applyFont="1" applyFill="1" applyBorder="1" applyAlignment="1" applyProtection="1">
      <alignment horizontal="center" vertical="center"/>
    </xf>
    <xf numFmtId="0" fontId="11" fillId="3" borderId="0" xfId="0" applyFont="1" applyFill="1" applyBorder="1" applyProtection="1"/>
    <xf numFmtId="0" fontId="14" fillId="3" borderId="1" xfId="0" applyFont="1" applyFill="1" applyBorder="1" applyAlignment="1" applyProtection="1">
      <alignment vertical="center"/>
    </xf>
    <xf numFmtId="0" fontId="14" fillId="3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0" fontId="15" fillId="3" borderId="17" xfId="0" applyFont="1" applyFill="1" applyBorder="1" applyProtection="1"/>
    <xf numFmtId="0" fontId="0" fillId="3" borderId="18" xfId="0" applyFill="1" applyBorder="1" applyAlignment="1" applyProtection="1"/>
    <xf numFmtId="0" fontId="0" fillId="3" borderId="19" xfId="0" applyFill="1" applyBorder="1" applyProtection="1"/>
    <xf numFmtId="0" fontId="0" fillId="3" borderId="0" xfId="0" applyFill="1" applyBorder="1" applyAlignment="1" applyProtection="1"/>
    <xf numFmtId="0" fontId="0" fillId="3" borderId="20" xfId="0" applyFill="1" applyBorder="1" applyProtection="1"/>
    <xf numFmtId="0" fontId="0" fillId="3" borderId="21" xfId="0" applyFill="1" applyBorder="1" applyAlignment="1" applyProtection="1"/>
    <xf numFmtId="164" fontId="0" fillId="3" borderId="0" xfId="0" applyNumberFormat="1" applyFill="1" applyBorder="1" applyProtection="1"/>
    <xf numFmtId="165" fontId="12" fillId="2" borderId="3" xfId="0" applyNumberFormat="1" applyFont="1" applyFill="1" applyBorder="1" applyAlignment="1" applyProtection="1">
      <alignment horizontal="center" vertical="center"/>
      <protection locked="0"/>
    </xf>
    <xf numFmtId="1" fontId="12" fillId="2" borderId="5" xfId="0" applyNumberFormat="1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vertical="center"/>
      <protection locked="0"/>
    </xf>
    <xf numFmtId="0" fontId="17" fillId="2" borderId="1" xfId="0" applyFont="1" applyFill="1" applyBorder="1" applyAlignment="1" applyProtection="1">
      <alignment vertical="center"/>
      <protection locked="0"/>
    </xf>
    <xf numFmtId="0" fontId="0" fillId="3" borderId="25" xfId="0" applyFill="1" applyBorder="1" applyAlignment="1" applyProtection="1"/>
    <xf numFmtId="0" fontId="0" fillId="3" borderId="26" xfId="0" applyFill="1" applyBorder="1" applyAlignment="1" applyProtection="1"/>
    <xf numFmtId="0" fontId="0" fillId="3" borderId="27" xfId="0" applyFill="1" applyBorder="1" applyAlignment="1" applyProtection="1"/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" xfId="1" applyFont="1" applyFill="1" applyBorder="1" applyAlignment="1" applyProtection="1">
      <alignment wrapText="1"/>
    </xf>
    <xf numFmtId="0" fontId="5" fillId="2" borderId="3" xfId="1" applyFont="1" applyFill="1" applyBorder="1" applyAlignment="1" applyProtection="1"/>
    <xf numFmtId="0" fontId="1" fillId="2" borderId="14" xfId="1" applyFill="1" applyBorder="1" applyProtection="1"/>
    <xf numFmtId="0" fontId="1" fillId="0" borderId="8" xfId="1" applyBorder="1" applyProtection="1"/>
    <xf numFmtId="0" fontId="1" fillId="0" borderId="35" xfId="1" applyFill="1" applyBorder="1" applyAlignment="1" applyProtection="1">
      <alignment horizontal="center" vertical="top"/>
    </xf>
    <xf numFmtId="0" fontId="4" fillId="0" borderId="8" xfId="1" applyFont="1" applyFill="1" applyBorder="1" applyAlignment="1" applyProtection="1">
      <alignment horizontal="center"/>
    </xf>
    <xf numFmtId="0" fontId="1" fillId="0" borderId="10" xfId="1" applyFill="1" applyBorder="1" applyProtection="1"/>
    <xf numFmtId="0" fontId="1" fillId="0" borderId="33" xfId="1" applyFill="1" applyBorder="1" applyProtection="1"/>
    <xf numFmtId="0" fontId="7" fillId="6" borderId="1" xfId="1" applyFont="1" applyFill="1" applyBorder="1" applyAlignment="1" applyProtection="1">
      <alignment wrapText="1"/>
    </xf>
    <xf numFmtId="0" fontId="7" fillId="6" borderId="11" xfId="1" applyFont="1" applyFill="1" applyBorder="1" applyAlignment="1" applyProtection="1">
      <alignment wrapText="1"/>
    </xf>
    <xf numFmtId="0" fontId="7" fillId="6" borderId="3" xfId="1" applyFont="1" applyFill="1" applyBorder="1" applyAlignment="1" applyProtection="1">
      <alignment wrapText="1"/>
    </xf>
    <xf numFmtId="0" fontId="7" fillId="2" borderId="9" xfId="1" applyFont="1" applyFill="1" applyBorder="1" applyAlignment="1" applyProtection="1">
      <alignment horizontal="right"/>
      <protection locked="0"/>
    </xf>
    <xf numFmtId="0" fontId="7" fillId="7" borderId="1" xfId="1" applyFont="1" applyFill="1" applyBorder="1" applyAlignment="1" applyProtection="1">
      <alignment horizontal="right"/>
      <protection locked="0"/>
    </xf>
    <xf numFmtId="0" fontId="7" fillId="6" borderId="9" xfId="1" applyFont="1" applyFill="1" applyBorder="1" applyAlignment="1" applyProtection="1">
      <alignment horizontal="right"/>
      <protection locked="0"/>
    </xf>
    <xf numFmtId="0" fontId="7" fillId="6" borderId="1" xfId="1" applyFont="1" applyFill="1" applyBorder="1" applyAlignment="1" applyProtection="1">
      <alignment horizontal="right"/>
      <protection locked="0"/>
    </xf>
    <xf numFmtId="0" fontId="7" fillId="2" borderId="1" xfId="1" applyFont="1" applyFill="1" applyBorder="1" applyAlignment="1" applyProtection="1">
      <alignment horizontal="right"/>
      <protection locked="0"/>
    </xf>
    <xf numFmtId="0" fontId="7" fillId="6" borderId="12" xfId="1" applyFont="1" applyFill="1" applyBorder="1" applyAlignment="1" applyProtection="1">
      <alignment horizontal="right"/>
      <protection locked="0"/>
    </xf>
    <xf numFmtId="0" fontId="7" fillId="6" borderId="11" xfId="1" applyFont="1" applyFill="1" applyBorder="1" applyAlignment="1" applyProtection="1">
      <alignment horizontal="right"/>
      <protection locked="0"/>
    </xf>
    <xf numFmtId="0" fontId="21" fillId="0" borderId="1" xfId="1" applyFont="1" applyBorder="1" applyAlignment="1" applyProtection="1">
      <alignment vertical="center" wrapText="1"/>
      <protection locked="0"/>
    </xf>
    <xf numFmtId="0" fontId="7" fillId="2" borderId="11" xfId="1" applyFont="1" applyFill="1" applyBorder="1" applyAlignment="1" applyProtection="1">
      <alignment wrapText="1"/>
    </xf>
    <xf numFmtId="0" fontId="7" fillId="2" borderId="3" xfId="1" applyFont="1" applyFill="1" applyBorder="1" applyAlignment="1" applyProtection="1">
      <alignment wrapText="1"/>
    </xf>
    <xf numFmtId="0" fontId="13" fillId="4" borderId="1" xfId="2" applyFont="1" applyFill="1" applyBorder="1" applyAlignment="1" applyProtection="1">
      <alignment horizontal="center" vertical="center"/>
      <protection locked="0"/>
    </xf>
    <xf numFmtId="0" fontId="21" fillId="0" borderId="9" xfId="1" applyFont="1" applyBorder="1" applyAlignment="1" applyProtection="1">
      <alignment vertical="center" wrapText="1"/>
      <protection locked="0"/>
    </xf>
    <xf numFmtId="0" fontId="21" fillId="0" borderId="1" xfId="1" applyFont="1" applyBorder="1" applyAlignment="1" applyProtection="1">
      <alignment horizontal="left" vertical="center" wrapText="1"/>
      <protection locked="0"/>
    </xf>
    <xf numFmtId="0" fontId="21" fillId="0" borderId="11" xfId="1" applyFont="1" applyBorder="1" applyAlignment="1" applyProtection="1">
      <alignment horizontal="left" vertical="center" wrapText="1"/>
      <protection locked="0"/>
    </xf>
    <xf numFmtId="0" fontId="7" fillId="6" borderId="1" xfId="1" applyFont="1" applyFill="1" applyBorder="1" applyProtection="1"/>
    <xf numFmtId="0" fontId="7" fillId="6" borderId="3" xfId="1" applyFont="1" applyFill="1" applyBorder="1" applyProtection="1"/>
    <xf numFmtId="0" fontId="21" fillId="0" borderId="34" xfId="1" applyFont="1" applyBorder="1" applyAlignment="1" applyProtection="1">
      <alignment vertical="top" wrapText="1"/>
      <protection locked="0"/>
    </xf>
    <xf numFmtId="0" fontId="7" fillId="2" borderId="34" xfId="1" applyFont="1" applyFill="1" applyBorder="1" applyAlignment="1" applyProtection="1">
      <alignment horizontal="right"/>
      <protection locked="0"/>
    </xf>
    <xf numFmtId="0" fontId="24" fillId="0" borderId="40" xfId="1" applyFont="1" applyBorder="1" applyAlignment="1" applyProtection="1">
      <alignment vertical="center" wrapText="1"/>
    </xf>
    <xf numFmtId="0" fontId="4" fillId="0" borderId="40" xfId="1" applyFont="1" applyBorder="1" applyAlignment="1" applyProtection="1">
      <alignment vertical="center" wrapText="1"/>
    </xf>
    <xf numFmtId="0" fontId="4" fillId="6" borderId="14" xfId="1" applyFont="1" applyFill="1" applyBorder="1" applyProtection="1"/>
    <xf numFmtId="0" fontId="8" fillId="0" borderId="36" xfId="1" applyFont="1" applyFill="1" applyBorder="1" applyAlignment="1" applyProtection="1">
      <alignment wrapText="1"/>
    </xf>
    <xf numFmtId="0" fontId="1" fillId="0" borderId="37" xfId="1" applyFill="1" applyBorder="1" applyProtection="1"/>
    <xf numFmtId="0" fontId="1" fillId="0" borderId="5" xfId="1" applyBorder="1" applyProtection="1">
      <protection locked="0"/>
    </xf>
    <xf numFmtId="0" fontId="1" fillId="0" borderId="0" xfId="1" applyProtection="1">
      <protection locked="0"/>
    </xf>
    <xf numFmtId="0" fontId="23" fillId="0" borderId="3" xfId="1" applyFont="1" applyFill="1" applyBorder="1" applyAlignment="1" applyProtection="1"/>
    <xf numFmtId="0" fontId="23" fillId="0" borderId="2" xfId="1" applyFont="1" applyFill="1" applyBorder="1" applyAlignment="1" applyProtection="1"/>
    <xf numFmtId="0" fontId="1" fillId="0" borderId="14" xfId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16" fillId="5" borderId="22" xfId="0" applyFont="1" applyFill="1" applyBorder="1" applyAlignment="1" applyProtection="1">
      <alignment horizontal="center"/>
    </xf>
    <xf numFmtId="0" fontId="16" fillId="5" borderId="24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2" fillId="0" borderId="44" xfId="1" applyFont="1" applyBorder="1" applyAlignment="1" applyProtection="1">
      <alignment horizontal="center" vertical="top"/>
    </xf>
    <xf numFmtId="0" fontId="2" fillId="0" borderId="2" xfId="1" applyFont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25" fillId="2" borderId="32" xfId="1" applyFont="1" applyFill="1" applyBorder="1" applyAlignment="1" applyProtection="1">
      <alignment horizontal="center"/>
      <protection locked="0"/>
    </xf>
    <xf numFmtId="0" fontId="25" fillId="2" borderId="31" xfId="1" applyFont="1" applyFill="1" applyBorder="1" applyAlignment="1" applyProtection="1">
      <alignment horizontal="center"/>
      <protection locked="0"/>
    </xf>
    <xf numFmtId="0" fontId="25" fillId="2" borderId="29" xfId="1" applyFont="1" applyFill="1" applyBorder="1" applyAlignment="1" applyProtection="1">
      <alignment horizontal="center"/>
      <protection locked="0"/>
    </xf>
    <xf numFmtId="0" fontId="25" fillId="2" borderId="28" xfId="1" applyFont="1" applyFill="1" applyBorder="1" applyAlignment="1" applyProtection="1">
      <alignment horizontal="center"/>
      <protection locked="0"/>
    </xf>
    <xf numFmtId="0" fontId="25" fillId="7" borderId="3" xfId="1" applyFont="1" applyFill="1" applyBorder="1" applyAlignment="1" applyProtection="1">
      <alignment horizontal="center"/>
      <protection locked="0"/>
    </xf>
    <xf numFmtId="0" fontId="25" fillId="7" borderId="4" xfId="1" applyFont="1" applyFill="1" applyBorder="1" applyAlignment="1" applyProtection="1">
      <alignment horizontal="center"/>
      <protection locked="0"/>
    </xf>
    <xf numFmtId="0" fontId="25" fillId="7" borderId="5" xfId="1" applyFont="1" applyFill="1" applyBorder="1" applyAlignment="1" applyProtection="1">
      <alignment horizontal="center"/>
      <protection locked="0"/>
    </xf>
    <xf numFmtId="0" fontId="25" fillId="2" borderId="3" xfId="1" applyFont="1" applyFill="1" applyBorder="1" applyAlignment="1" applyProtection="1">
      <alignment horizontal="center"/>
      <protection locked="0"/>
    </xf>
    <xf numFmtId="0" fontId="25" fillId="2" borderId="4" xfId="1" applyFont="1" applyFill="1" applyBorder="1" applyAlignment="1" applyProtection="1">
      <alignment horizontal="center"/>
      <protection locked="0"/>
    </xf>
    <xf numFmtId="0" fontId="25" fillId="2" borderId="5" xfId="1" applyFont="1" applyFill="1" applyBorder="1" applyAlignment="1" applyProtection="1">
      <alignment horizontal="center"/>
      <protection locked="0"/>
    </xf>
    <xf numFmtId="0" fontId="25" fillId="6" borderId="3" xfId="1" applyFont="1" applyFill="1" applyBorder="1" applyAlignment="1" applyProtection="1">
      <alignment horizontal="center"/>
      <protection locked="0"/>
    </xf>
    <xf numFmtId="0" fontId="25" fillId="6" borderId="5" xfId="1" applyFont="1" applyFill="1" applyBorder="1" applyAlignment="1" applyProtection="1">
      <alignment horizontal="center"/>
      <protection locked="0"/>
    </xf>
    <xf numFmtId="0" fontId="25" fillId="2" borderId="30" xfId="1" applyFont="1" applyFill="1" applyBorder="1" applyAlignment="1" applyProtection="1">
      <alignment horizontal="center"/>
      <protection locked="0"/>
    </xf>
    <xf numFmtId="0" fontId="25" fillId="6" borderId="30" xfId="1" applyFont="1" applyFill="1" applyBorder="1" applyAlignment="1" applyProtection="1">
      <alignment horizontal="center"/>
      <protection locked="0"/>
    </xf>
    <xf numFmtId="0" fontId="25" fillId="6" borderId="4" xfId="1" applyFont="1" applyFill="1" applyBorder="1" applyAlignment="1" applyProtection="1">
      <alignment horizontal="center"/>
      <protection locked="0"/>
    </xf>
    <xf numFmtId="0" fontId="25" fillId="2" borderId="42" xfId="1" applyFont="1" applyFill="1" applyBorder="1" applyAlignment="1" applyProtection="1">
      <alignment horizontal="center"/>
      <protection locked="0"/>
    </xf>
    <xf numFmtId="0" fontId="25" fillId="6" borderId="33" xfId="1" applyFont="1" applyFill="1" applyBorder="1" applyAlignment="1" applyProtection="1">
      <alignment horizontal="center"/>
      <protection locked="0"/>
    </xf>
    <xf numFmtId="0" fontId="25" fillId="7" borderId="33" xfId="1" applyFont="1" applyFill="1" applyBorder="1" applyAlignment="1" applyProtection="1">
      <alignment horizontal="center"/>
      <protection locked="0"/>
    </xf>
    <xf numFmtId="0" fontId="25" fillId="2" borderId="33" xfId="1" applyFont="1" applyFill="1" applyBorder="1" applyAlignment="1" applyProtection="1">
      <alignment horizontal="center"/>
      <protection locked="0"/>
    </xf>
    <xf numFmtId="0" fontId="25" fillId="7" borderId="30" xfId="1" applyFont="1" applyFill="1" applyBorder="1" applyAlignment="1" applyProtection="1">
      <alignment horizontal="center"/>
      <protection locked="0"/>
    </xf>
    <xf numFmtId="0" fontId="3" fillId="0" borderId="38" xfId="1" applyFont="1" applyBorder="1" applyAlignment="1" applyProtection="1">
      <alignment horizontal="left" vertical="top"/>
    </xf>
    <xf numFmtId="0" fontId="3" fillId="0" borderId="9" xfId="1" applyFont="1" applyBorder="1" applyAlignment="1" applyProtection="1">
      <alignment horizontal="left" vertical="top"/>
    </xf>
    <xf numFmtId="0" fontId="22" fillId="0" borderId="11" xfId="1" applyFont="1" applyBorder="1" applyAlignment="1" applyProtection="1">
      <alignment horizontal="center" vertical="center"/>
    </xf>
    <xf numFmtId="0" fontId="22" fillId="0" borderId="7" xfId="1" applyFont="1" applyBorder="1" applyAlignment="1" applyProtection="1">
      <alignment horizontal="center" vertical="center"/>
    </xf>
    <xf numFmtId="0" fontId="22" fillId="0" borderId="9" xfId="1" applyFont="1" applyBorder="1" applyAlignment="1" applyProtection="1">
      <alignment horizontal="center" vertical="center"/>
    </xf>
    <xf numFmtId="0" fontId="8" fillId="0" borderId="15" xfId="1" applyFont="1" applyBorder="1" applyAlignment="1" applyProtection="1">
      <alignment horizontal="left" wrapText="1"/>
    </xf>
    <xf numFmtId="0" fontId="1" fillId="0" borderId="16" xfId="1" applyBorder="1" applyAlignment="1" applyProtection="1">
      <alignment horizontal="left" wrapText="1"/>
    </xf>
    <xf numFmtId="0" fontId="1" fillId="0" borderId="43" xfId="1" applyBorder="1" applyAlignment="1" applyProtection="1">
      <alignment horizontal="left" wrapText="1"/>
    </xf>
    <xf numFmtId="0" fontId="1" fillId="0" borderId="26" xfId="1" applyBorder="1" applyAlignment="1" applyProtection="1">
      <alignment horizontal="center"/>
    </xf>
    <xf numFmtId="0" fontId="1" fillId="2" borderId="22" xfId="1" applyFill="1" applyBorder="1" applyAlignment="1" applyProtection="1">
      <alignment horizontal="center"/>
    </xf>
    <xf numFmtId="0" fontId="1" fillId="2" borderId="23" xfId="1" applyFill="1" applyBorder="1" applyAlignment="1" applyProtection="1">
      <alignment horizontal="center"/>
    </xf>
    <xf numFmtId="0" fontId="8" fillId="0" borderId="38" xfId="1" applyFont="1" applyBorder="1" applyAlignment="1" applyProtection="1">
      <alignment horizontal="center" wrapText="1"/>
    </xf>
    <xf numFmtId="0" fontId="8" fillId="0" borderId="16" xfId="1" applyFont="1" applyBorder="1" applyAlignment="1" applyProtection="1">
      <alignment horizontal="center" wrapText="1"/>
    </xf>
    <xf numFmtId="0" fontId="23" fillId="0" borderId="30" xfId="1" applyFont="1" applyFill="1" applyBorder="1" applyAlignment="1" applyProtection="1">
      <alignment horizontal="center"/>
    </xf>
    <xf numFmtId="0" fontId="23" fillId="0" borderId="4" xfId="1" applyFont="1" applyFill="1" applyBorder="1" applyAlignment="1" applyProtection="1">
      <alignment horizontal="center"/>
    </xf>
    <xf numFmtId="0" fontId="23" fillId="0" borderId="3" xfId="1" applyFont="1" applyFill="1" applyBorder="1" applyAlignment="1" applyProtection="1">
      <alignment horizontal="center"/>
    </xf>
    <xf numFmtId="0" fontId="23" fillId="0" borderId="5" xfId="1" applyFont="1" applyFill="1" applyBorder="1" applyAlignment="1" applyProtection="1">
      <alignment horizontal="center"/>
    </xf>
    <xf numFmtId="0" fontId="18" fillId="0" borderId="0" xfId="1" applyFont="1" applyBorder="1" applyAlignment="1" applyProtection="1">
      <alignment horizontal="center" vertical="center"/>
    </xf>
    <xf numFmtId="0" fontId="3" fillId="0" borderId="3" xfId="1" applyFont="1" applyBorder="1" applyAlignment="1" applyProtection="1">
      <alignment horizontal="center"/>
    </xf>
    <xf numFmtId="0" fontId="3" fillId="0" borderId="4" xfId="1" applyFont="1" applyBorder="1" applyAlignment="1" applyProtection="1">
      <alignment horizontal="center"/>
    </xf>
    <xf numFmtId="0" fontId="3" fillId="7" borderId="38" xfId="1" applyFont="1" applyFill="1" applyBorder="1" applyAlignment="1" applyProtection="1">
      <alignment horizontal="left"/>
      <protection locked="0"/>
    </xf>
    <xf numFmtId="0" fontId="3" fillId="7" borderId="16" xfId="1" applyFont="1" applyFill="1" applyBorder="1" applyAlignment="1" applyProtection="1">
      <alignment horizontal="left"/>
      <protection locked="0"/>
    </xf>
    <xf numFmtId="0" fontId="3" fillId="7" borderId="39" xfId="1" applyFont="1" applyFill="1" applyBorder="1" applyAlignment="1" applyProtection="1">
      <alignment horizontal="left"/>
      <protection locked="0"/>
    </xf>
    <xf numFmtId="0" fontId="1" fillId="2" borderId="3" xfId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center"/>
    </xf>
    <xf numFmtId="0" fontId="3" fillId="6" borderId="3" xfId="1" applyFont="1" applyFill="1" applyBorder="1" applyAlignment="1" applyProtection="1">
      <alignment horizontal="left" wrapText="1"/>
      <protection locked="0"/>
    </xf>
    <xf numFmtId="0" fontId="3" fillId="6" borderId="4" xfId="1" applyFont="1" applyFill="1" applyBorder="1" applyAlignment="1" applyProtection="1">
      <alignment horizontal="left" wrapText="1"/>
      <protection locked="0"/>
    </xf>
    <xf numFmtId="0" fontId="3" fillId="6" borderId="5" xfId="1" applyFont="1" applyFill="1" applyBorder="1" applyAlignment="1" applyProtection="1">
      <alignment horizontal="left" wrapText="1"/>
      <protection locked="0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3" fillId="0" borderId="38" xfId="1" applyFont="1" applyBorder="1" applyAlignment="1" applyProtection="1">
      <alignment horizontal="center"/>
    </xf>
    <xf numFmtId="0" fontId="3" fillId="0" borderId="16" xfId="1" applyFont="1" applyBorder="1" applyAlignment="1" applyProtection="1">
      <alignment horizontal="center"/>
    </xf>
    <xf numFmtId="0" fontId="3" fillId="0" borderId="39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 vertical="top"/>
    </xf>
    <xf numFmtId="0" fontId="1" fillId="0" borderId="2" xfId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  <xf numFmtId="0" fontId="1" fillId="7" borderId="3" xfId="1" applyFill="1" applyBorder="1" applyAlignment="1" applyProtection="1">
      <alignment horizontal="left"/>
      <protection locked="0"/>
    </xf>
    <xf numFmtId="0" fontId="1" fillId="7" borderId="4" xfId="1" applyFill="1" applyBorder="1" applyAlignment="1" applyProtection="1">
      <alignment horizontal="left"/>
      <protection locked="0"/>
    </xf>
    <xf numFmtId="0" fontId="1" fillId="7" borderId="5" xfId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3" fillId="0" borderId="0" xfId="1" applyFont="1" applyBorder="1" applyAlignment="1" applyProtection="1">
      <alignment horizontal="left" vertical="center"/>
    </xf>
    <xf numFmtId="0" fontId="3" fillId="0" borderId="2" xfId="1" applyFont="1" applyBorder="1" applyAlignment="1" applyProtection="1">
      <alignment horizontal="left" vertical="center"/>
    </xf>
    <xf numFmtId="0" fontId="23" fillId="0" borderId="41" xfId="1" applyFont="1" applyFill="1" applyBorder="1" applyAlignment="1" applyProtection="1">
      <alignment horizontal="center"/>
    </xf>
  </cellXfs>
  <cellStyles count="3">
    <cellStyle name="Hyperlink" xfId="2" builtinId="8"/>
    <cellStyle name="Normal" xfId="0" builtinId="0"/>
    <cellStyle name="Normal 2" xfId="1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"/>
      <tableStyleElement type="headerRow" dxfId="5"/>
    </tableStyle>
  </tableStyles>
  <colors>
    <mruColors>
      <color rgb="FFCCFFFF"/>
      <color rgb="FF9BFFC8"/>
      <color rgb="FF99FFCC"/>
      <color rgb="FF0000FF"/>
      <color rgb="FF66FF99"/>
      <color rgb="FF6DFFAF"/>
      <color rgb="FFFFFF99"/>
      <color rgb="FF66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36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9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40.emf"/><Relationship Id="rId38" Type="http://schemas.openxmlformats.org/officeDocument/2006/relationships/image" Target="../media/image35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41.emf"/><Relationship Id="rId37" Type="http://schemas.openxmlformats.org/officeDocument/2006/relationships/image" Target="../media/image34.emf"/><Relationship Id="rId40" Type="http://schemas.openxmlformats.org/officeDocument/2006/relationships/image" Target="../media/image37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3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0</xdr:row>
      <xdr:rowOff>142876</xdr:rowOff>
    </xdr:from>
    <xdr:to>
      <xdr:col>8</xdr:col>
      <xdr:colOff>1010708</xdr:colOff>
      <xdr:row>7</xdr:row>
      <xdr:rowOff>31751</xdr:rowOff>
    </xdr:to>
    <xdr:sp macro="[0]!Create_Record" textlink="">
      <xdr:nvSpPr>
        <xdr:cNvPr id="3" name="Rounded Rectangle 2"/>
        <xdr:cNvSpPr/>
      </xdr:nvSpPr>
      <xdr:spPr>
        <a:xfrm>
          <a:off x="714375" y="142876"/>
          <a:ext cx="3196166" cy="1079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16</xdr:col>
      <xdr:colOff>593762</xdr:colOff>
      <xdr:row>23</xdr:row>
      <xdr:rowOff>140220</xdr:rowOff>
    </xdr:to>
    <xdr:pic macro="[0]!Picture3_Click"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1429" cy="4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</xdr:colOff>
          <xdr:row>7</xdr:row>
          <xdr:rowOff>9525</xdr:rowOff>
        </xdr:from>
        <xdr:to>
          <xdr:col>31</xdr:col>
          <xdr:colOff>219075</xdr:colOff>
          <xdr:row>7</xdr:row>
          <xdr:rowOff>152400</xdr:rowOff>
        </xdr:to>
        <xdr:sp macro="" textlink="">
          <xdr:nvSpPr>
            <xdr:cNvPr id="2277" name="CheckBox36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7</xdr:row>
          <xdr:rowOff>9525</xdr:rowOff>
        </xdr:from>
        <xdr:to>
          <xdr:col>30</xdr:col>
          <xdr:colOff>219075</xdr:colOff>
          <xdr:row>7</xdr:row>
          <xdr:rowOff>152400</xdr:rowOff>
        </xdr:to>
        <xdr:sp macro="" textlink="">
          <xdr:nvSpPr>
            <xdr:cNvPr id="2276" name="CheckBox35" hidden="1">
              <a:extLst>
                <a:ext uri="{63B3BB69-23CF-44E3-9099-C40C66FF867C}">
                  <a14:compatExt spid="_x0000_s2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7</xdr:row>
          <xdr:rowOff>9525</xdr:rowOff>
        </xdr:from>
        <xdr:to>
          <xdr:col>29</xdr:col>
          <xdr:colOff>219075</xdr:colOff>
          <xdr:row>7</xdr:row>
          <xdr:rowOff>152400</xdr:rowOff>
        </xdr:to>
        <xdr:sp macro="" textlink="">
          <xdr:nvSpPr>
            <xdr:cNvPr id="2275" name="CheckBox34" hidden="1">
              <a:extLst>
                <a:ext uri="{63B3BB69-23CF-44E3-9099-C40C66FF867C}">
                  <a14:compatExt spid="_x0000_s2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7</xdr:row>
          <xdr:rowOff>9525</xdr:rowOff>
        </xdr:from>
        <xdr:to>
          <xdr:col>28</xdr:col>
          <xdr:colOff>219075</xdr:colOff>
          <xdr:row>7</xdr:row>
          <xdr:rowOff>152400</xdr:rowOff>
        </xdr:to>
        <xdr:sp macro="" textlink="">
          <xdr:nvSpPr>
            <xdr:cNvPr id="2274" name="CheckBox33" hidden="1">
              <a:extLst>
                <a:ext uri="{63B3BB69-23CF-44E3-9099-C40C66FF867C}">
                  <a14:compatExt spid="_x0000_s2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7</xdr:row>
          <xdr:rowOff>9525</xdr:rowOff>
        </xdr:from>
        <xdr:to>
          <xdr:col>27</xdr:col>
          <xdr:colOff>219075</xdr:colOff>
          <xdr:row>7</xdr:row>
          <xdr:rowOff>152400</xdr:rowOff>
        </xdr:to>
        <xdr:sp macro="" textlink="">
          <xdr:nvSpPr>
            <xdr:cNvPr id="2273" name="CheckBox32" hidden="1">
              <a:extLst>
                <a:ext uri="{63B3BB69-23CF-44E3-9099-C40C66FF867C}">
                  <a14:compatExt spid="_x0000_s2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7</xdr:row>
          <xdr:rowOff>9525</xdr:rowOff>
        </xdr:from>
        <xdr:to>
          <xdr:col>26</xdr:col>
          <xdr:colOff>219075</xdr:colOff>
          <xdr:row>7</xdr:row>
          <xdr:rowOff>152400</xdr:rowOff>
        </xdr:to>
        <xdr:sp macro="" textlink="">
          <xdr:nvSpPr>
            <xdr:cNvPr id="2272" name="CheckBox31" hidden="1">
              <a:extLst>
                <a:ext uri="{63B3BB69-23CF-44E3-9099-C40C66FF867C}">
                  <a14:compatExt spid="_x0000_s2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66675</xdr:colOff>
          <xdr:row>7</xdr:row>
          <xdr:rowOff>9525</xdr:rowOff>
        </xdr:from>
        <xdr:to>
          <xdr:col>25</xdr:col>
          <xdr:colOff>219075</xdr:colOff>
          <xdr:row>7</xdr:row>
          <xdr:rowOff>152400</xdr:rowOff>
        </xdr:to>
        <xdr:sp macro="" textlink="">
          <xdr:nvSpPr>
            <xdr:cNvPr id="2271" name="CheckBox30" hidden="1">
              <a:extLst>
                <a:ext uri="{63B3BB69-23CF-44E3-9099-C40C66FF867C}">
                  <a14:compatExt spid="_x0000_s2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7</xdr:row>
          <xdr:rowOff>9525</xdr:rowOff>
        </xdr:from>
        <xdr:to>
          <xdr:col>24</xdr:col>
          <xdr:colOff>219075</xdr:colOff>
          <xdr:row>7</xdr:row>
          <xdr:rowOff>152400</xdr:rowOff>
        </xdr:to>
        <xdr:sp macro="" textlink="">
          <xdr:nvSpPr>
            <xdr:cNvPr id="2270" name="CheckBox29" hidden="1">
              <a:extLst>
                <a:ext uri="{63B3BB69-23CF-44E3-9099-C40C66FF867C}">
                  <a14:compatExt spid="_x0000_s2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7</xdr:row>
          <xdr:rowOff>9525</xdr:rowOff>
        </xdr:from>
        <xdr:to>
          <xdr:col>23</xdr:col>
          <xdr:colOff>219075</xdr:colOff>
          <xdr:row>7</xdr:row>
          <xdr:rowOff>152400</xdr:rowOff>
        </xdr:to>
        <xdr:sp macro="" textlink="">
          <xdr:nvSpPr>
            <xdr:cNvPr id="2269" name="CheckBox28" hidden="1">
              <a:extLst>
                <a:ext uri="{63B3BB69-23CF-44E3-9099-C40C66FF867C}">
                  <a14:compatExt spid="_x0000_s2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7</xdr:row>
          <xdr:rowOff>9525</xdr:rowOff>
        </xdr:from>
        <xdr:to>
          <xdr:col>22</xdr:col>
          <xdr:colOff>219075</xdr:colOff>
          <xdr:row>7</xdr:row>
          <xdr:rowOff>152400</xdr:rowOff>
        </xdr:to>
        <xdr:sp macro="" textlink="">
          <xdr:nvSpPr>
            <xdr:cNvPr id="2268" name="CheckBox27" hidden="1">
              <a:extLst>
                <a:ext uri="{63B3BB69-23CF-44E3-9099-C40C66FF867C}">
                  <a14:compatExt spid="_x0000_s2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7</xdr:row>
          <xdr:rowOff>9525</xdr:rowOff>
        </xdr:from>
        <xdr:to>
          <xdr:col>21</xdr:col>
          <xdr:colOff>219075</xdr:colOff>
          <xdr:row>7</xdr:row>
          <xdr:rowOff>152400</xdr:rowOff>
        </xdr:to>
        <xdr:sp macro="" textlink="">
          <xdr:nvSpPr>
            <xdr:cNvPr id="2267" name="CheckBox26" hidden="1">
              <a:extLst>
                <a:ext uri="{63B3BB69-23CF-44E3-9099-C40C66FF867C}">
                  <a14:compatExt spid="_x0000_s2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7</xdr:row>
          <xdr:rowOff>9525</xdr:rowOff>
        </xdr:from>
        <xdr:to>
          <xdr:col>20</xdr:col>
          <xdr:colOff>219075</xdr:colOff>
          <xdr:row>7</xdr:row>
          <xdr:rowOff>152400</xdr:rowOff>
        </xdr:to>
        <xdr:sp macro="" textlink="">
          <xdr:nvSpPr>
            <xdr:cNvPr id="2266" name="CheckBox25" hidden="1">
              <a:extLst>
                <a:ext uri="{63B3BB69-23CF-44E3-9099-C40C66FF867C}">
                  <a14:compatExt spid="_x0000_s2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7</xdr:row>
          <xdr:rowOff>9525</xdr:rowOff>
        </xdr:from>
        <xdr:to>
          <xdr:col>19</xdr:col>
          <xdr:colOff>219075</xdr:colOff>
          <xdr:row>7</xdr:row>
          <xdr:rowOff>152400</xdr:rowOff>
        </xdr:to>
        <xdr:sp macro="" textlink="">
          <xdr:nvSpPr>
            <xdr:cNvPr id="2264" name="CheckBox24" hidden="1">
              <a:extLst>
                <a:ext uri="{63B3BB69-23CF-44E3-9099-C40C66FF867C}">
                  <a14:compatExt spid="_x0000_s2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9525</xdr:rowOff>
        </xdr:from>
        <xdr:to>
          <xdr:col>18</xdr:col>
          <xdr:colOff>219075</xdr:colOff>
          <xdr:row>7</xdr:row>
          <xdr:rowOff>152400</xdr:rowOff>
        </xdr:to>
        <xdr:sp macro="" textlink="">
          <xdr:nvSpPr>
            <xdr:cNvPr id="2263" name="CheckBox23" hidden="1">
              <a:extLst>
                <a:ext uri="{63B3BB69-23CF-44E3-9099-C40C66FF867C}">
                  <a14:compatExt spid="_x0000_s2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7</xdr:row>
          <xdr:rowOff>9525</xdr:rowOff>
        </xdr:from>
        <xdr:to>
          <xdr:col>17</xdr:col>
          <xdr:colOff>219075</xdr:colOff>
          <xdr:row>7</xdr:row>
          <xdr:rowOff>152400</xdr:rowOff>
        </xdr:to>
        <xdr:sp macro="" textlink="">
          <xdr:nvSpPr>
            <xdr:cNvPr id="2262" name="CheckBox22" hidden="1">
              <a:extLst>
                <a:ext uri="{63B3BB69-23CF-44E3-9099-C40C66FF867C}">
                  <a14:compatExt spid="_x0000_s2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7</xdr:row>
          <xdr:rowOff>9525</xdr:rowOff>
        </xdr:from>
        <xdr:to>
          <xdr:col>16</xdr:col>
          <xdr:colOff>219075</xdr:colOff>
          <xdr:row>7</xdr:row>
          <xdr:rowOff>152400</xdr:rowOff>
        </xdr:to>
        <xdr:sp macro="" textlink="">
          <xdr:nvSpPr>
            <xdr:cNvPr id="2261" name="CheckBox21" hidden="1">
              <a:extLst>
                <a:ext uri="{63B3BB69-23CF-44E3-9099-C40C66FF867C}">
                  <a14:compatExt spid="_x0000_s2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9525</xdr:rowOff>
        </xdr:from>
        <xdr:to>
          <xdr:col>15</xdr:col>
          <xdr:colOff>219075</xdr:colOff>
          <xdr:row>7</xdr:row>
          <xdr:rowOff>152400</xdr:rowOff>
        </xdr:to>
        <xdr:sp macro="" textlink="">
          <xdr:nvSpPr>
            <xdr:cNvPr id="2260" name="CheckBox20" hidden="1">
              <a:extLst>
                <a:ext uri="{63B3BB69-23CF-44E3-9099-C40C66FF867C}">
                  <a14:compatExt spid="_x0000_s2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7</xdr:row>
          <xdr:rowOff>9525</xdr:rowOff>
        </xdr:from>
        <xdr:to>
          <xdr:col>14</xdr:col>
          <xdr:colOff>219075</xdr:colOff>
          <xdr:row>7</xdr:row>
          <xdr:rowOff>152400</xdr:rowOff>
        </xdr:to>
        <xdr:sp macro="" textlink="">
          <xdr:nvSpPr>
            <xdr:cNvPr id="2259" name="CheckBox19" hidden="1">
              <a:extLst>
                <a:ext uri="{63B3BB69-23CF-44E3-9099-C40C66FF867C}">
                  <a14:compatExt spid="_x0000_s2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7</xdr:row>
          <xdr:rowOff>9525</xdr:rowOff>
        </xdr:from>
        <xdr:to>
          <xdr:col>13</xdr:col>
          <xdr:colOff>219075</xdr:colOff>
          <xdr:row>7</xdr:row>
          <xdr:rowOff>152400</xdr:rowOff>
        </xdr:to>
        <xdr:sp macro="" textlink="">
          <xdr:nvSpPr>
            <xdr:cNvPr id="2258" name="CheckBox18" hidden="1">
              <a:extLst>
                <a:ext uri="{63B3BB69-23CF-44E3-9099-C40C66FF867C}">
                  <a14:compatExt spid="_x0000_s2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9525</xdr:rowOff>
        </xdr:from>
        <xdr:to>
          <xdr:col>12</xdr:col>
          <xdr:colOff>219075</xdr:colOff>
          <xdr:row>7</xdr:row>
          <xdr:rowOff>152400</xdr:rowOff>
        </xdr:to>
        <xdr:sp macro="" textlink="">
          <xdr:nvSpPr>
            <xdr:cNvPr id="2257" name="CheckBox17" hidden="1">
              <a:extLst>
                <a:ext uri="{63B3BB69-23CF-44E3-9099-C40C66FF867C}">
                  <a14:compatExt spid="_x0000_s2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7</xdr:row>
          <xdr:rowOff>9525</xdr:rowOff>
        </xdr:from>
        <xdr:to>
          <xdr:col>11</xdr:col>
          <xdr:colOff>219075</xdr:colOff>
          <xdr:row>7</xdr:row>
          <xdr:rowOff>152400</xdr:rowOff>
        </xdr:to>
        <xdr:sp macro="" textlink="">
          <xdr:nvSpPr>
            <xdr:cNvPr id="2255" name="CheckBox16" hidden="1">
              <a:extLst>
                <a:ext uri="{63B3BB69-23CF-44E3-9099-C40C66FF867C}">
                  <a14:compatExt spid="_x0000_s2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7</xdr:row>
          <xdr:rowOff>9525</xdr:rowOff>
        </xdr:from>
        <xdr:to>
          <xdr:col>10</xdr:col>
          <xdr:colOff>219075</xdr:colOff>
          <xdr:row>7</xdr:row>
          <xdr:rowOff>152400</xdr:rowOff>
        </xdr:to>
        <xdr:sp macro="" textlink="">
          <xdr:nvSpPr>
            <xdr:cNvPr id="2254" name="CheckBox15" hidden="1">
              <a:extLst>
                <a:ext uri="{63B3BB69-23CF-44E3-9099-C40C66FF867C}">
                  <a14:compatExt spid="_x0000_s2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9525</xdr:rowOff>
        </xdr:from>
        <xdr:to>
          <xdr:col>9</xdr:col>
          <xdr:colOff>219075</xdr:colOff>
          <xdr:row>7</xdr:row>
          <xdr:rowOff>152400</xdr:rowOff>
        </xdr:to>
        <xdr:sp macro="" textlink="">
          <xdr:nvSpPr>
            <xdr:cNvPr id="2253" name="CheckBox14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9525</xdr:rowOff>
        </xdr:from>
        <xdr:to>
          <xdr:col>8</xdr:col>
          <xdr:colOff>219075</xdr:colOff>
          <xdr:row>7</xdr:row>
          <xdr:rowOff>152400</xdr:rowOff>
        </xdr:to>
        <xdr:sp macro="" textlink="">
          <xdr:nvSpPr>
            <xdr:cNvPr id="2252" name="CheckBox13" hidden="1">
              <a:extLst>
                <a:ext uri="{63B3BB69-23CF-44E3-9099-C40C66FF867C}">
                  <a14:compatExt spid="_x0000_s2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7</xdr:row>
          <xdr:rowOff>9525</xdr:rowOff>
        </xdr:from>
        <xdr:to>
          <xdr:col>7</xdr:col>
          <xdr:colOff>219075</xdr:colOff>
          <xdr:row>7</xdr:row>
          <xdr:rowOff>152400</xdr:rowOff>
        </xdr:to>
        <xdr:sp macro="" textlink="">
          <xdr:nvSpPr>
            <xdr:cNvPr id="2251" name="CheckBox12" hidden="1">
              <a:extLst>
                <a:ext uri="{63B3BB69-23CF-44E3-9099-C40C66FF867C}">
                  <a14:compatExt spid="_x0000_s2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9525</xdr:rowOff>
        </xdr:from>
        <xdr:to>
          <xdr:col>6</xdr:col>
          <xdr:colOff>219075</xdr:colOff>
          <xdr:row>7</xdr:row>
          <xdr:rowOff>152400</xdr:rowOff>
        </xdr:to>
        <xdr:sp macro="" textlink="">
          <xdr:nvSpPr>
            <xdr:cNvPr id="2250" name="CheckBox11" hidden="1">
              <a:extLst>
                <a:ext uri="{63B3BB69-23CF-44E3-9099-C40C66FF867C}">
                  <a14:compatExt spid="_x0000_s2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9525</xdr:rowOff>
        </xdr:from>
        <xdr:to>
          <xdr:col>5</xdr:col>
          <xdr:colOff>219075</xdr:colOff>
          <xdr:row>7</xdr:row>
          <xdr:rowOff>152400</xdr:rowOff>
        </xdr:to>
        <xdr:sp macro="" textlink="">
          <xdr:nvSpPr>
            <xdr:cNvPr id="2249" name="CheckBox10" hidden="1">
              <a:extLst>
                <a:ext uri="{63B3BB69-23CF-44E3-9099-C40C66FF867C}">
                  <a14:compatExt spid="_x0000_s2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9525</xdr:rowOff>
        </xdr:from>
        <xdr:to>
          <xdr:col>4</xdr:col>
          <xdr:colOff>219075</xdr:colOff>
          <xdr:row>7</xdr:row>
          <xdr:rowOff>152400</xdr:rowOff>
        </xdr:to>
        <xdr:sp macro="" textlink="">
          <xdr:nvSpPr>
            <xdr:cNvPr id="2248" name="CheckBox9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9525</xdr:rowOff>
        </xdr:from>
        <xdr:to>
          <xdr:col>3</xdr:col>
          <xdr:colOff>219075</xdr:colOff>
          <xdr:row>7</xdr:row>
          <xdr:rowOff>152400</xdr:rowOff>
        </xdr:to>
        <xdr:sp macro="" textlink="">
          <xdr:nvSpPr>
            <xdr:cNvPr id="2247" name="CheckBox8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</xdr:row>
          <xdr:rowOff>9525</xdr:rowOff>
        </xdr:from>
        <xdr:to>
          <xdr:col>2</xdr:col>
          <xdr:colOff>219075</xdr:colOff>
          <xdr:row>7</xdr:row>
          <xdr:rowOff>152400</xdr:rowOff>
        </xdr:to>
        <xdr:sp macro="" textlink="">
          <xdr:nvSpPr>
            <xdr:cNvPr id="2246" name="CheckBox7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7</xdr:row>
          <xdr:rowOff>9525</xdr:rowOff>
        </xdr:from>
        <xdr:to>
          <xdr:col>1</xdr:col>
          <xdr:colOff>219075</xdr:colOff>
          <xdr:row>7</xdr:row>
          <xdr:rowOff>152400</xdr:rowOff>
        </xdr:to>
        <xdr:sp macro="" textlink="">
          <xdr:nvSpPr>
            <xdr:cNvPr id="2244" name="CheckBox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172" name="TextBox 171"/>
        <xdr:cNvSpPr txBox="1"/>
      </xdr:nvSpPr>
      <xdr:spPr>
        <a:xfrm>
          <a:off x="3109479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190500</xdr:rowOff>
        </xdr:from>
        <xdr:to>
          <xdr:col>5</xdr:col>
          <xdr:colOff>171450</xdr:colOff>
          <xdr:row>0</xdr:row>
          <xdr:rowOff>333375</xdr:rowOff>
        </xdr:to>
        <xdr:sp macro="" textlink="">
          <xdr:nvSpPr>
            <xdr:cNvPr id="2281" name="CheckBox40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174" name="TextBox 173"/>
        <xdr:cNvSpPr txBox="1"/>
      </xdr:nvSpPr>
      <xdr:spPr>
        <a:xfrm>
          <a:off x="2442730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190500</xdr:rowOff>
        </xdr:from>
        <xdr:to>
          <xdr:col>3</xdr:col>
          <xdr:colOff>66675</xdr:colOff>
          <xdr:row>0</xdr:row>
          <xdr:rowOff>333375</xdr:rowOff>
        </xdr:to>
        <xdr:sp macro="" textlink="">
          <xdr:nvSpPr>
            <xdr:cNvPr id="2280" name="CheckBox39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1108352</xdr:colOff>
      <xdr:row>0</xdr:row>
      <xdr:rowOff>129885</xdr:rowOff>
    </xdr:from>
    <xdr:ext cx="357085" cy="254493"/>
    <xdr:sp macro="" textlink="">
      <xdr:nvSpPr>
        <xdr:cNvPr id="171" name="TextBox 170"/>
        <xdr:cNvSpPr txBox="1"/>
      </xdr:nvSpPr>
      <xdr:spPr>
        <a:xfrm>
          <a:off x="1108352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1000125</xdr:colOff>
          <xdr:row>0</xdr:row>
          <xdr:rowOff>190500</xdr:rowOff>
        </xdr:from>
        <xdr:to>
          <xdr:col>0</xdr:col>
          <xdr:colOff>1152525</xdr:colOff>
          <xdr:row>0</xdr:row>
          <xdr:rowOff>333375</xdr:rowOff>
        </xdr:to>
        <xdr:sp macro="" textlink="">
          <xdr:nvSpPr>
            <xdr:cNvPr id="2279" name="CheckBox38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432953</xdr:colOff>
      <xdr:row>0</xdr:row>
      <xdr:rowOff>129886</xdr:rowOff>
    </xdr:from>
    <xdr:ext cx="404021" cy="254493"/>
    <xdr:sp macro="" textlink="">
      <xdr:nvSpPr>
        <xdr:cNvPr id="170" name="TextBox 169"/>
        <xdr:cNvSpPr txBox="1"/>
      </xdr:nvSpPr>
      <xdr:spPr>
        <a:xfrm>
          <a:off x="432953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200025</xdr:rowOff>
        </xdr:from>
        <xdr:to>
          <xdr:col>0</xdr:col>
          <xdr:colOff>495300</xdr:colOff>
          <xdr:row>0</xdr:row>
          <xdr:rowOff>342900</xdr:rowOff>
        </xdr:to>
        <xdr:sp macro="" textlink="">
          <xdr:nvSpPr>
            <xdr:cNvPr id="2278" name="CheckBox37" hidden="1">
              <a:extLst>
                <a:ext uri="{63B3BB69-23CF-44E3-9099-C40C66FF867C}">
                  <a14:compatExt spid="_x0000_s2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311728</xdr:colOff>
      <xdr:row>0</xdr:row>
      <xdr:rowOff>69273</xdr:rowOff>
    </xdr:from>
    <xdr:to>
      <xdr:col>37</xdr:col>
      <xdr:colOff>381000</xdr:colOff>
      <xdr:row>2</xdr:row>
      <xdr:rowOff>138546</xdr:rowOff>
    </xdr:to>
    <xdr:sp macro="[0]!show_Hide_Checkboxes" textlink="">
      <xdr:nvSpPr>
        <xdr:cNvPr id="173" name="Rounded Rectangle 172"/>
        <xdr:cNvSpPr/>
      </xdr:nvSpPr>
      <xdr:spPr>
        <a:xfrm>
          <a:off x="12737523" y="69273"/>
          <a:ext cx="1281545" cy="528205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251114</xdr:colOff>
      <xdr:row>11</xdr:row>
      <xdr:rowOff>147215</xdr:rowOff>
    </xdr:from>
    <xdr:to>
      <xdr:col>37</xdr:col>
      <xdr:colOff>270164</xdr:colOff>
      <xdr:row>14</xdr:row>
      <xdr:rowOff>161070</xdr:rowOff>
    </xdr:to>
    <xdr:sp macro="[0]!Display_Treatment_Frequency" textlink="">
      <xdr:nvSpPr>
        <xdr:cNvPr id="169" name="Rounded Rectangle 168"/>
        <xdr:cNvSpPr/>
      </xdr:nvSpPr>
      <xdr:spPr>
        <a:xfrm>
          <a:off x="11464637" y="2805556"/>
          <a:ext cx="2443595" cy="914400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Daily Treatment Frequency Note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0</xdr:col>
          <xdr:colOff>219075</xdr:colOff>
          <xdr:row>1</xdr:row>
          <xdr:rowOff>190500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895350</xdr:colOff>
          <xdr:row>1</xdr:row>
          <xdr:rowOff>47625</xdr:rowOff>
        </xdr:from>
        <xdr:to>
          <xdr:col>0</xdr:col>
          <xdr:colOff>1047750</xdr:colOff>
          <xdr:row>1</xdr:row>
          <xdr:rowOff>190500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47625</xdr:rowOff>
        </xdr:from>
        <xdr:to>
          <xdr:col>4</xdr:col>
          <xdr:colOff>219075</xdr:colOff>
          <xdr:row>1</xdr:row>
          <xdr:rowOff>190500</xdr:rowOff>
        </xdr:to>
        <xdr:sp macro="" textlink="">
          <xdr:nvSpPr>
            <xdr:cNvPr id="2052" name="Check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47625</xdr:rowOff>
        </xdr:from>
        <xdr:to>
          <xdr:col>7</xdr:col>
          <xdr:colOff>180975</xdr:colOff>
          <xdr:row>1</xdr:row>
          <xdr:rowOff>190500</xdr:rowOff>
        </xdr:to>
        <xdr:sp macro="" textlink="">
          <xdr:nvSpPr>
            <xdr:cNvPr id="2053" name="Check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9525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2058" name="Labe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26</xdr:row>
          <xdr:rowOff>295275</xdr:rowOff>
        </xdr:to>
        <xdr:sp macro="" textlink="">
          <xdr:nvSpPr>
            <xdr:cNvPr id="2060" name="Labe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9525</xdr:rowOff>
        </xdr:from>
        <xdr:to>
          <xdr:col>3</xdr:col>
          <xdr:colOff>9525</xdr:colOff>
          <xdr:row>25</xdr:row>
          <xdr:rowOff>295275</xdr:rowOff>
        </xdr:to>
        <xdr:sp macro="" textlink="">
          <xdr:nvSpPr>
            <xdr:cNvPr id="2061" name="Label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2062" name="Label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2063" name="Label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064" name="Label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2127" name="Label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2130" name="Label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131" name="Label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26</xdr:row>
          <xdr:rowOff>295275</xdr:rowOff>
        </xdr:to>
        <xdr:sp macro="" textlink="">
          <xdr:nvSpPr>
            <xdr:cNvPr id="2132" name="Label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2133" name="Label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134" name="Label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135" name="Label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2136" name="Label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137" name="Label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2138" name="Label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139" name="Label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16</xdr:col>
          <xdr:colOff>0</xdr:colOff>
          <xdr:row>26</xdr:row>
          <xdr:rowOff>295275</xdr:rowOff>
        </xdr:to>
        <xdr:sp macro="" textlink="">
          <xdr:nvSpPr>
            <xdr:cNvPr id="2140" name="Label 92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141" name="Label 93" hidden="1">
              <a:extLst>
                <a:ext uri="{63B3BB69-23CF-44E3-9099-C40C66FF867C}">
                  <a14:compatExt spid="_x0000_s2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142" name="Label 94" hidden="1">
              <a:extLst>
                <a:ext uri="{63B3BB69-23CF-44E3-9099-C40C66FF867C}">
                  <a14:compatExt spid="_x0000_s2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143" name="Label 95" hidden="1">
              <a:extLst>
                <a:ext uri="{63B3BB69-23CF-44E3-9099-C40C66FF867C}">
                  <a14:compatExt spid="_x0000_s2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144" name="Label 96" hidden="1">
              <a:extLst>
                <a:ext uri="{63B3BB69-23CF-44E3-9099-C40C66FF867C}">
                  <a14:compatExt spid="_x0000_s2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2145" name="Label 97" hidden="1">
              <a:extLst>
                <a:ext uri="{63B3BB69-23CF-44E3-9099-C40C66FF867C}">
                  <a14:compatExt spid="_x0000_s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2147" name="Label 99" hidden="1">
              <a:extLst>
                <a:ext uri="{63B3BB69-23CF-44E3-9099-C40C66FF867C}">
                  <a14:compatExt spid="_x0000_s2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25</xdr:row>
          <xdr:rowOff>0</xdr:rowOff>
        </xdr:from>
        <xdr:to>
          <xdr:col>16</xdr:col>
          <xdr:colOff>0</xdr:colOff>
          <xdr:row>26</xdr:row>
          <xdr:rowOff>0</xdr:rowOff>
        </xdr:to>
        <xdr:sp macro="" textlink="">
          <xdr:nvSpPr>
            <xdr:cNvPr id="2149" name="Label 101" hidden="1">
              <a:extLst>
                <a:ext uri="{63B3BB69-23CF-44E3-9099-C40C66FF867C}">
                  <a14:compatExt spid="_x0000_s2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151" name="Label 103" hidden="1">
              <a:extLst>
                <a:ext uri="{63B3BB69-23CF-44E3-9099-C40C66FF867C}">
                  <a14:compatExt spid="_x0000_s2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153" name="Label 105" hidden="1">
              <a:extLst>
                <a:ext uri="{63B3BB69-23CF-44E3-9099-C40C66FF867C}">
                  <a14:compatExt spid="_x0000_s2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2155" name="Label 107" hidden="1">
              <a:extLst>
                <a:ext uri="{63B3BB69-23CF-44E3-9099-C40C66FF867C}">
                  <a14:compatExt spid="_x0000_s2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2156" name="Label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0</xdr:rowOff>
        </xdr:from>
        <xdr:to>
          <xdr:col>20</xdr:col>
          <xdr:colOff>0</xdr:colOff>
          <xdr:row>26</xdr:row>
          <xdr:rowOff>0</xdr:rowOff>
        </xdr:to>
        <xdr:sp macro="" textlink="">
          <xdr:nvSpPr>
            <xdr:cNvPr id="2157" name="Label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0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158" name="Label 110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25</xdr:row>
          <xdr:rowOff>0</xdr:rowOff>
        </xdr:from>
        <xdr:to>
          <xdr:col>21</xdr:col>
          <xdr:colOff>0</xdr:colOff>
          <xdr:row>26</xdr:row>
          <xdr:rowOff>0</xdr:rowOff>
        </xdr:to>
        <xdr:sp macro="" textlink="">
          <xdr:nvSpPr>
            <xdr:cNvPr id="2159" name="Label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26</xdr:row>
          <xdr:rowOff>0</xdr:rowOff>
        </xdr:from>
        <xdr:to>
          <xdr:col>21</xdr:col>
          <xdr:colOff>0</xdr:colOff>
          <xdr:row>26</xdr:row>
          <xdr:rowOff>295275</xdr:rowOff>
        </xdr:to>
        <xdr:sp macro="" textlink="">
          <xdr:nvSpPr>
            <xdr:cNvPr id="2161" name="Label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sp macro="" textlink="">
          <xdr:nvSpPr>
            <xdr:cNvPr id="2162" name="Label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0</xdr:rowOff>
        </xdr:from>
        <xdr:to>
          <xdr:col>22</xdr:col>
          <xdr:colOff>0</xdr:colOff>
          <xdr:row>27</xdr:row>
          <xdr:rowOff>0</xdr:rowOff>
        </xdr:to>
        <xdr:sp macro="" textlink="">
          <xdr:nvSpPr>
            <xdr:cNvPr id="2163" name="Label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25</xdr:row>
          <xdr:rowOff>0</xdr:rowOff>
        </xdr:from>
        <xdr:to>
          <xdr:col>23</xdr:col>
          <xdr:colOff>0</xdr:colOff>
          <xdr:row>26</xdr:row>
          <xdr:rowOff>0</xdr:rowOff>
        </xdr:to>
        <xdr:sp macro="" textlink="">
          <xdr:nvSpPr>
            <xdr:cNvPr id="2164" name="Label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26</xdr:row>
          <xdr:rowOff>0</xdr:rowOff>
        </xdr:from>
        <xdr:to>
          <xdr:col>23</xdr:col>
          <xdr:colOff>0</xdr:colOff>
          <xdr:row>26</xdr:row>
          <xdr:rowOff>295275</xdr:rowOff>
        </xdr:to>
        <xdr:sp macro="" textlink="">
          <xdr:nvSpPr>
            <xdr:cNvPr id="2165" name="Label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25</xdr:row>
          <xdr:rowOff>0</xdr:rowOff>
        </xdr:from>
        <xdr:to>
          <xdr:col>24</xdr:col>
          <xdr:colOff>0</xdr:colOff>
          <xdr:row>26</xdr:row>
          <xdr:rowOff>0</xdr:rowOff>
        </xdr:to>
        <xdr:sp macro="" textlink="">
          <xdr:nvSpPr>
            <xdr:cNvPr id="2166" name="Label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sp macro="" textlink="">
          <xdr:nvSpPr>
            <xdr:cNvPr id="2168" name="Label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170" name="Label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25</xdr:row>
          <xdr:rowOff>0</xdr:rowOff>
        </xdr:from>
        <xdr:to>
          <xdr:col>27</xdr:col>
          <xdr:colOff>0</xdr:colOff>
          <xdr:row>26</xdr:row>
          <xdr:rowOff>0</xdr:rowOff>
        </xdr:to>
        <xdr:sp macro="" textlink="">
          <xdr:nvSpPr>
            <xdr:cNvPr id="2172" name="Label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174" name="Label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25</xdr:row>
          <xdr:rowOff>0</xdr:rowOff>
        </xdr:from>
        <xdr:to>
          <xdr:col>29</xdr:col>
          <xdr:colOff>0</xdr:colOff>
          <xdr:row>26</xdr:row>
          <xdr:rowOff>0</xdr:rowOff>
        </xdr:to>
        <xdr:sp macro="" textlink="">
          <xdr:nvSpPr>
            <xdr:cNvPr id="2176" name="Label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25</xdr:row>
          <xdr:rowOff>0</xdr:rowOff>
        </xdr:from>
        <xdr:to>
          <xdr:col>30</xdr:col>
          <xdr:colOff>0</xdr:colOff>
          <xdr:row>26</xdr:row>
          <xdr:rowOff>0</xdr:rowOff>
        </xdr:to>
        <xdr:sp macro="" textlink="">
          <xdr:nvSpPr>
            <xdr:cNvPr id="2178" name="Label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25</xdr:row>
          <xdr:rowOff>0</xdr:rowOff>
        </xdr:from>
        <xdr:to>
          <xdr:col>31</xdr:col>
          <xdr:colOff>0</xdr:colOff>
          <xdr:row>26</xdr:row>
          <xdr:rowOff>0</xdr:rowOff>
        </xdr:to>
        <xdr:sp macro="" textlink="">
          <xdr:nvSpPr>
            <xdr:cNvPr id="2180" name="Label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25</xdr:row>
          <xdr:rowOff>0</xdr:rowOff>
        </xdr:from>
        <xdr:to>
          <xdr:col>32</xdr:col>
          <xdr:colOff>0</xdr:colOff>
          <xdr:row>26</xdr:row>
          <xdr:rowOff>0</xdr:rowOff>
        </xdr:to>
        <xdr:sp macro="" textlink="">
          <xdr:nvSpPr>
            <xdr:cNvPr id="2182" name="Label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2</xdr:col>
          <xdr:colOff>9525</xdr:colOff>
          <xdr:row>26</xdr:row>
          <xdr:rowOff>295275</xdr:rowOff>
        </xdr:to>
        <xdr:sp macro="" textlink="">
          <xdr:nvSpPr>
            <xdr:cNvPr id="2184" name="Label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295275</xdr:rowOff>
        </xdr:to>
        <xdr:sp macro="" textlink="">
          <xdr:nvSpPr>
            <xdr:cNvPr id="2185" name="Label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2186" name="Label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2187" name="Label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188" name="Label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192" name="Label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26</xdr:row>
          <xdr:rowOff>0</xdr:rowOff>
        </xdr:from>
        <xdr:to>
          <xdr:col>27</xdr:col>
          <xdr:colOff>0</xdr:colOff>
          <xdr:row>27</xdr:row>
          <xdr:rowOff>0</xdr:rowOff>
        </xdr:to>
        <xdr:sp macro="" textlink="">
          <xdr:nvSpPr>
            <xdr:cNvPr id="2194" name="Label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195" name="Label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26</xdr:row>
          <xdr:rowOff>0</xdr:rowOff>
        </xdr:from>
        <xdr:to>
          <xdr:col>29</xdr:col>
          <xdr:colOff>0</xdr:colOff>
          <xdr:row>27</xdr:row>
          <xdr:rowOff>0</xdr:rowOff>
        </xdr:to>
        <xdr:sp macro="" textlink="">
          <xdr:nvSpPr>
            <xdr:cNvPr id="2196" name="Label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26</xdr:row>
          <xdr:rowOff>0</xdr:rowOff>
        </xdr:from>
        <xdr:to>
          <xdr:col>30</xdr:col>
          <xdr:colOff>0</xdr:colOff>
          <xdr:row>27</xdr:row>
          <xdr:rowOff>0</xdr:rowOff>
        </xdr:to>
        <xdr:sp macro="" textlink="">
          <xdr:nvSpPr>
            <xdr:cNvPr id="2197" name="Label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26</xdr:row>
          <xdr:rowOff>0</xdr:rowOff>
        </xdr:from>
        <xdr:to>
          <xdr:col>31</xdr:col>
          <xdr:colOff>0</xdr:colOff>
          <xdr:row>27</xdr:row>
          <xdr:rowOff>0</xdr:rowOff>
        </xdr:to>
        <xdr:sp macro="" textlink="">
          <xdr:nvSpPr>
            <xdr:cNvPr id="2198" name="Label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26</xdr:row>
          <xdr:rowOff>0</xdr:rowOff>
        </xdr:from>
        <xdr:to>
          <xdr:col>32</xdr:col>
          <xdr:colOff>0</xdr:colOff>
          <xdr:row>27</xdr:row>
          <xdr:rowOff>0</xdr:rowOff>
        </xdr:to>
        <xdr:sp macro="" textlink="">
          <xdr:nvSpPr>
            <xdr:cNvPr id="2199" name="Label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26</xdr:row>
          <xdr:rowOff>0</xdr:rowOff>
        </xdr:from>
        <xdr:to>
          <xdr:col>24</xdr:col>
          <xdr:colOff>0</xdr:colOff>
          <xdr:row>27</xdr:row>
          <xdr:rowOff>0</xdr:rowOff>
        </xdr:to>
        <xdr:sp macro="" textlink="">
          <xdr:nvSpPr>
            <xdr:cNvPr id="2203" name="Label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0</xdr:rowOff>
        </xdr:from>
        <xdr:to>
          <xdr:col>25</xdr:col>
          <xdr:colOff>0</xdr:colOff>
          <xdr:row>27</xdr:row>
          <xdr:rowOff>0</xdr:rowOff>
        </xdr:to>
        <xdr:sp macro="" textlink="">
          <xdr:nvSpPr>
            <xdr:cNvPr id="2204" name="Label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27</xdr:row>
          <xdr:rowOff>0</xdr:rowOff>
        </xdr:from>
        <xdr:to>
          <xdr:col>32</xdr:col>
          <xdr:colOff>0</xdr:colOff>
          <xdr:row>28</xdr:row>
          <xdr:rowOff>0</xdr:rowOff>
        </xdr:to>
        <xdr:sp macro="" textlink="">
          <xdr:nvSpPr>
            <xdr:cNvPr id="2207" name="Label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27</xdr:row>
          <xdr:rowOff>0</xdr:rowOff>
        </xdr:from>
        <xdr:to>
          <xdr:col>31</xdr:col>
          <xdr:colOff>0</xdr:colOff>
          <xdr:row>28</xdr:row>
          <xdr:rowOff>0</xdr:rowOff>
        </xdr:to>
        <xdr:sp macro="" textlink="">
          <xdr:nvSpPr>
            <xdr:cNvPr id="2208" name="Label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27</xdr:row>
          <xdr:rowOff>0</xdr:rowOff>
        </xdr:from>
        <xdr:to>
          <xdr:col>30</xdr:col>
          <xdr:colOff>0</xdr:colOff>
          <xdr:row>28</xdr:row>
          <xdr:rowOff>0</xdr:rowOff>
        </xdr:to>
        <xdr:sp macro="" textlink="">
          <xdr:nvSpPr>
            <xdr:cNvPr id="2209" name="Label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27</xdr:row>
          <xdr:rowOff>0</xdr:rowOff>
        </xdr:from>
        <xdr:to>
          <xdr:col>29</xdr:col>
          <xdr:colOff>0</xdr:colOff>
          <xdr:row>28</xdr:row>
          <xdr:rowOff>0</xdr:rowOff>
        </xdr:to>
        <xdr:sp macro="" textlink="">
          <xdr:nvSpPr>
            <xdr:cNvPr id="2210" name="Label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11" name="Label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27</xdr:row>
          <xdr:rowOff>0</xdr:rowOff>
        </xdr:from>
        <xdr:to>
          <xdr:col>27</xdr:col>
          <xdr:colOff>0</xdr:colOff>
          <xdr:row>28</xdr:row>
          <xdr:rowOff>0</xdr:rowOff>
        </xdr:to>
        <xdr:sp macro="" textlink="">
          <xdr:nvSpPr>
            <xdr:cNvPr id="2212" name="Label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13" name="Label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0</xdr:rowOff>
        </xdr:from>
        <xdr:to>
          <xdr:col>25</xdr:col>
          <xdr:colOff>0</xdr:colOff>
          <xdr:row>28</xdr:row>
          <xdr:rowOff>0</xdr:rowOff>
        </xdr:to>
        <xdr:sp macro="" textlink="">
          <xdr:nvSpPr>
            <xdr:cNvPr id="2214" name="Label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27</xdr:row>
          <xdr:rowOff>0</xdr:rowOff>
        </xdr:from>
        <xdr:to>
          <xdr:col>24</xdr:col>
          <xdr:colOff>0</xdr:colOff>
          <xdr:row>28</xdr:row>
          <xdr:rowOff>0</xdr:rowOff>
        </xdr:to>
        <xdr:sp macro="" textlink="">
          <xdr:nvSpPr>
            <xdr:cNvPr id="2215" name="Label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27</xdr:row>
          <xdr:rowOff>0</xdr:rowOff>
        </xdr:from>
        <xdr:to>
          <xdr:col>23</xdr:col>
          <xdr:colOff>0</xdr:colOff>
          <xdr:row>28</xdr:row>
          <xdr:rowOff>0</xdr:rowOff>
        </xdr:to>
        <xdr:sp macro="" textlink="">
          <xdr:nvSpPr>
            <xdr:cNvPr id="2217" name="Label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0</xdr:rowOff>
        </xdr:from>
        <xdr:to>
          <xdr:col>22</xdr:col>
          <xdr:colOff>0</xdr:colOff>
          <xdr:row>28</xdr:row>
          <xdr:rowOff>0</xdr:rowOff>
        </xdr:to>
        <xdr:sp macro="" textlink="">
          <xdr:nvSpPr>
            <xdr:cNvPr id="2218" name="Label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27</xdr:row>
          <xdr:rowOff>0</xdr:rowOff>
        </xdr:from>
        <xdr:to>
          <xdr:col>21</xdr:col>
          <xdr:colOff>0</xdr:colOff>
          <xdr:row>28</xdr:row>
          <xdr:rowOff>0</xdr:rowOff>
        </xdr:to>
        <xdr:sp macro="" textlink="">
          <xdr:nvSpPr>
            <xdr:cNvPr id="2219" name="Label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0</xdr:rowOff>
        </xdr:from>
        <xdr:to>
          <xdr:col>20</xdr:col>
          <xdr:colOff>0</xdr:colOff>
          <xdr:row>28</xdr:row>
          <xdr:rowOff>0</xdr:rowOff>
        </xdr:to>
        <xdr:sp macro="" textlink="">
          <xdr:nvSpPr>
            <xdr:cNvPr id="2220" name="Label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221" name="Label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222" name="Label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223" name="Label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27</xdr:row>
          <xdr:rowOff>0</xdr:rowOff>
        </xdr:from>
        <xdr:to>
          <xdr:col>16</xdr:col>
          <xdr:colOff>0</xdr:colOff>
          <xdr:row>28</xdr:row>
          <xdr:rowOff>0</xdr:rowOff>
        </xdr:to>
        <xdr:sp macro="" textlink="">
          <xdr:nvSpPr>
            <xdr:cNvPr id="2224" name="Label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2225" name="Label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2227" name="Label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228" name="Label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2229" name="Label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2230" name="Label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2231" name="Label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232" name="Label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2233" name="Label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234" name="Label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2236" name="Label 188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2237" name="Label 189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238" name="Label 190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2239" name="Label 191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2240" name="Label 192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33</xdr:col>
      <xdr:colOff>226219</xdr:colOff>
      <xdr:row>7</xdr:row>
      <xdr:rowOff>188337</xdr:rowOff>
    </xdr:from>
    <xdr:to>
      <xdr:col>37</xdr:col>
      <xdr:colOff>245269</xdr:colOff>
      <xdr:row>10</xdr:row>
      <xdr:rowOff>184873</xdr:rowOff>
    </xdr:to>
    <xdr:sp macro="[0]!Exit_Button" textlink="">
      <xdr:nvSpPr>
        <xdr:cNvPr id="104" name="Rounded Rectangle 103"/>
        <xdr:cNvSpPr/>
      </xdr:nvSpPr>
      <xdr:spPr>
        <a:xfrm>
          <a:off x="11439742" y="1625746"/>
          <a:ext cx="2443595" cy="914400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Save &amp; Exit</a:t>
          </a:r>
        </a:p>
      </xdr:txBody>
    </xdr:sp>
    <xdr:clientData/>
  </xdr:twoCellAnchor>
  <xdr:twoCellAnchor>
    <xdr:from>
      <xdr:col>33</xdr:col>
      <xdr:colOff>238125</xdr:colOff>
      <xdr:row>15</xdr:row>
      <xdr:rowOff>111479</xdr:rowOff>
    </xdr:from>
    <xdr:to>
      <xdr:col>37</xdr:col>
      <xdr:colOff>257175</xdr:colOff>
      <xdr:row>18</xdr:row>
      <xdr:rowOff>116675</xdr:rowOff>
    </xdr:to>
    <xdr:sp macro="[0]!Roll_Over_Record" textlink="">
      <xdr:nvSpPr>
        <xdr:cNvPr id="106" name="Rounded Rectangle 105"/>
        <xdr:cNvSpPr/>
      </xdr:nvSpPr>
      <xdr:spPr>
        <a:xfrm>
          <a:off x="11451648" y="3973434"/>
          <a:ext cx="2443595" cy="9144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Roll Over Record </a:t>
          </a:r>
        </a:p>
      </xdr:txBody>
    </xdr:sp>
    <xdr:clientData/>
  </xdr:twoCellAnchor>
  <xdr:twoCellAnchor>
    <xdr:from>
      <xdr:col>33</xdr:col>
      <xdr:colOff>297657</xdr:colOff>
      <xdr:row>23</xdr:row>
      <xdr:rowOff>38967</xdr:rowOff>
    </xdr:from>
    <xdr:to>
      <xdr:col>37</xdr:col>
      <xdr:colOff>346364</xdr:colOff>
      <xdr:row>27</xdr:row>
      <xdr:rowOff>0</xdr:rowOff>
    </xdr:to>
    <xdr:sp macro="[0]!Show_UserForm2" textlink="">
      <xdr:nvSpPr>
        <xdr:cNvPr id="107" name="Rounded Rectangle 106"/>
        <xdr:cNvSpPr/>
      </xdr:nvSpPr>
      <xdr:spPr>
        <a:xfrm>
          <a:off x="11511180" y="6238876"/>
          <a:ext cx="2473252" cy="117330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Add/Remove</a:t>
          </a:r>
          <a:r>
            <a:rPr lang="en-US" sz="2400" baseline="0"/>
            <a:t> </a:t>
          </a:r>
          <a:r>
            <a:rPr lang="en-US" sz="2800" baseline="0"/>
            <a:t>Note</a:t>
          </a:r>
          <a:endParaRPr lang="en-US" sz="2800"/>
        </a:p>
      </xdr:txBody>
    </xdr:sp>
    <xdr:clientData/>
  </xdr:twoCellAnchor>
  <xdr:twoCellAnchor>
    <xdr:from>
      <xdr:col>33</xdr:col>
      <xdr:colOff>261104</xdr:colOff>
      <xdr:row>19</xdr:row>
      <xdr:rowOff>78594</xdr:rowOff>
    </xdr:from>
    <xdr:to>
      <xdr:col>37</xdr:col>
      <xdr:colOff>268432</xdr:colOff>
      <xdr:row>22</xdr:row>
      <xdr:rowOff>83789</xdr:rowOff>
    </xdr:to>
    <xdr:sp macro="[0]!Discharge_Patient_2" textlink="">
      <xdr:nvSpPr>
        <xdr:cNvPr id="103" name="Rounded Rectangle 102"/>
        <xdr:cNvSpPr/>
      </xdr:nvSpPr>
      <xdr:spPr>
        <a:xfrm>
          <a:off x="11474627" y="5152821"/>
          <a:ext cx="2431873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1046883</xdr:colOff>
      <xdr:row>13</xdr:row>
      <xdr:rowOff>161340</xdr:rowOff>
    </xdr:from>
    <xdr:ext cx="9896039" cy="1533791"/>
    <xdr:sp macro="" textlink="">
      <xdr:nvSpPr>
        <xdr:cNvPr id="105" name="Discharge1" hidden="1"/>
        <xdr:cNvSpPr/>
      </xdr:nvSpPr>
      <xdr:spPr>
        <a:xfrm rot="19619912">
          <a:off x="1046883" y="3333898"/>
          <a:ext cx="989603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1118597</xdr:colOff>
      <xdr:row>12</xdr:row>
      <xdr:rowOff>290038</xdr:rowOff>
    </xdr:from>
    <xdr:ext cx="10061316" cy="1533791"/>
    <xdr:sp macro="" textlink="">
      <xdr:nvSpPr>
        <xdr:cNvPr id="108" name="Discharge2" hidden="1"/>
        <xdr:cNvSpPr/>
      </xdr:nvSpPr>
      <xdr:spPr>
        <a:xfrm rot="19460799">
          <a:off x="1118597" y="3169519"/>
          <a:ext cx="10061316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1074391</xdr:colOff>
      <xdr:row>12</xdr:row>
      <xdr:rowOff>226115</xdr:rowOff>
    </xdr:from>
    <xdr:ext cx="10016097" cy="1533791"/>
    <xdr:sp macro="" textlink="">
      <xdr:nvSpPr>
        <xdr:cNvPr id="109" name="Discharge3" hidden="1"/>
        <xdr:cNvSpPr/>
      </xdr:nvSpPr>
      <xdr:spPr>
        <a:xfrm rot="19274466">
          <a:off x="1074391" y="3105596"/>
          <a:ext cx="1001609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1331542</xdr:colOff>
      <xdr:row>13</xdr:row>
      <xdr:rowOff>137212</xdr:rowOff>
    </xdr:from>
    <xdr:ext cx="9654891" cy="1533791"/>
    <xdr:sp macro="" textlink="">
      <xdr:nvSpPr>
        <xdr:cNvPr id="110" name="Discharge4" hidden="1"/>
        <xdr:cNvSpPr/>
      </xdr:nvSpPr>
      <xdr:spPr>
        <a:xfrm rot="19274466">
          <a:off x="1331542" y="3309770"/>
          <a:ext cx="965489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1808367</xdr:colOff>
      <xdr:row>12</xdr:row>
      <xdr:rowOff>262977</xdr:rowOff>
    </xdr:from>
    <xdr:ext cx="8951085" cy="1533791"/>
    <xdr:sp macro="" textlink="">
      <xdr:nvSpPr>
        <xdr:cNvPr id="111" name="Discharge5" hidden="1"/>
        <xdr:cNvSpPr/>
      </xdr:nvSpPr>
      <xdr:spPr>
        <a:xfrm rot="19115162">
          <a:off x="1808367" y="3142458"/>
          <a:ext cx="895108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1688494</xdr:colOff>
      <xdr:row>13</xdr:row>
      <xdr:rowOff>23191</xdr:rowOff>
    </xdr:from>
    <xdr:ext cx="9679142" cy="1533791"/>
    <xdr:sp macro="" textlink="">
      <xdr:nvSpPr>
        <xdr:cNvPr id="112" name="Discharge6" hidden="1"/>
        <xdr:cNvSpPr/>
      </xdr:nvSpPr>
      <xdr:spPr>
        <a:xfrm rot="19115162">
          <a:off x="1688494" y="3195749"/>
          <a:ext cx="96791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157459</xdr:colOff>
      <xdr:row>13</xdr:row>
      <xdr:rowOff>25152</xdr:rowOff>
    </xdr:from>
    <xdr:ext cx="8939206" cy="1533791"/>
    <xdr:sp macro="" textlink="">
      <xdr:nvSpPr>
        <xdr:cNvPr id="113" name="Discharge7" hidden="1"/>
        <xdr:cNvSpPr/>
      </xdr:nvSpPr>
      <xdr:spPr>
        <a:xfrm rot="19115162">
          <a:off x="2318901" y="3197710"/>
          <a:ext cx="8939206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113982</xdr:colOff>
      <xdr:row>13</xdr:row>
      <xdr:rowOff>9399</xdr:rowOff>
    </xdr:from>
    <xdr:ext cx="9056347" cy="1533791"/>
    <xdr:sp macro="" textlink="">
      <xdr:nvSpPr>
        <xdr:cNvPr id="114" name="Discharge8" hidden="1"/>
        <xdr:cNvSpPr/>
      </xdr:nvSpPr>
      <xdr:spPr>
        <a:xfrm rot="19115162">
          <a:off x="2561174" y="3181957"/>
          <a:ext cx="905634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5</xdr:col>
      <xdr:colOff>26395</xdr:colOff>
      <xdr:row>13</xdr:row>
      <xdr:rowOff>183794</xdr:rowOff>
    </xdr:from>
    <xdr:ext cx="8265020" cy="1533791"/>
    <xdr:sp macro="" textlink="">
      <xdr:nvSpPr>
        <xdr:cNvPr id="115" name="Discharge9" hidden="1"/>
        <xdr:cNvSpPr/>
      </xdr:nvSpPr>
      <xdr:spPr>
        <a:xfrm rot="19115162">
          <a:off x="3045087" y="3356352"/>
          <a:ext cx="826502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212483</xdr:colOff>
      <xdr:row>14</xdr:row>
      <xdr:rowOff>73270</xdr:rowOff>
    </xdr:from>
    <xdr:ext cx="9835974" cy="1533791"/>
    <xdr:sp macro="" textlink="">
      <xdr:nvSpPr>
        <xdr:cNvPr id="116" name="Discharge10" hidden="1"/>
        <xdr:cNvSpPr/>
      </xdr:nvSpPr>
      <xdr:spPr>
        <a:xfrm rot="19115162">
          <a:off x="2373925" y="3553558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5</xdr:col>
      <xdr:colOff>51288</xdr:colOff>
      <xdr:row>14</xdr:row>
      <xdr:rowOff>263773</xdr:rowOff>
    </xdr:from>
    <xdr:ext cx="8626282" cy="1533791"/>
    <xdr:sp macro="" textlink="">
      <xdr:nvSpPr>
        <xdr:cNvPr id="117" name="Discharge11" hidden="1"/>
        <xdr:cNvSpPr/>
      </xdr:nvSpPr>
      <xdr:spPr>
        <a:xfrm rot="19115162">
          <a:off x="3069980" y="3744061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131886</xdr:colOff>
      <xdr:row>14</xdr:row>
      <xdr:rowOff>234463</xdr:rowOff>
    </xdr:from>
    <xdr:ext cx="8437549" cy="1533791"/>
    <xdr:sp macro="" textlink="">
      <xdr:nvSpPr>
        <xdr:cNvPr id="118" name="Discharge12" hidden="1"/>
        <xdr:cNvSpPr/>
      </xdr:nvSpPr>
      <xdr:spPr>
        <a:xfrm rot="19115162">
          <a:off x="3436328" y="3714751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210829</xdr:colOff>
      <xdr:row>15</xdr:row>
      <xdr:rowOff>137643</xdr:rowOff>
    </xdr:from>
    <xdr:ext cx="7258717" cy="1533791"/>
    <xdr:sp macro="" textlink="">
      <xdr:nvSpPr>
        <xdr:cNvPr id="119" name="Discharge13" hidden="1"/>
        <xdr:cNvSpPr/>
      </xdr:nvSpPr>
      <xdr:spPr>
        <a:xfrm rot="19115162">
          <a:off x="4086771" y="3925662"/>
          <a:ext cx="725871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109903</xdr:colOff>
      <xdr:row>15</xdr:row>
      <xdr:rowOff>124558</xdr:rowOff>
    </xdr:from>
    <xdr:ext cx="8081631" cy="1533791"/>
    <xdr:sp macro="" textlink="">
      <xdr:nvSpPr>
        <xdr:cNvPr id="120" name="Discharge14" hidden="1"/>
        <xdr:cNvSpPr/>
      </xdr:nvSpPr>
      <xdr:spPr>
        <a:xfrm rot="19115162">
          <a:off x="3985845" y="3912577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241767</xdr:colOff>
      <xdr:row>16</xdr:row>
      <xdr:rowOff>5949</xdr:rowOff>
    </xdr:from>
    <xdr:ext cx="6859071" cy="1533791"/>
    <xdr:sp macro="" textlink="">
      <xdr:nvSpPr>
        <xdr:cNvPr id="121" name="Discharge15" hidden="1"/>
        <xdr:cNvSpPr/>
      </xdr:nvSpPr>
      <xdr:spPr>
        <a:xfrm rot="19115162">
          <a:off x="4689209" y="4101699"/>
          <a:ext cx="685907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11</xdr:col>
      <xdr:colOff>215989</xdr:colOff>
      <xdr:row>16</xdr:row>
      <xdr:rowOff>20076</xdr:rowOff>
    </xdr:from>
    <xdr:ext cx="6813168" cy="1533791"/>
    <xdr:sp macro="" textlink="">
      <xdr:nvSpPr>
        <xdr:cNvPr id="122" name="Discharge16" hidden="1"/>
        <xdr:cNvSpPr/>
      </xdr:nvSpPr>
      <xdr:spPr>
        <a:xfrm rot="19115162">
          <a:off x="4949181" y="4115826"/>
          <a:ext cx="681316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13</xdr:col>
      <xdr:colOff>183174</xdr:colOff>
      <xdr:row>16</xdr:row>
      <xdr:rowOff>183172</xdr:rowOff>
    </xdr:from>
    <xdr:ext cx="5870342" cy="1533791"/>
    <xdr:sp macro="" textlink="">
      <xdr:nvSpPr>
        <xdr:cNvPr id="123" name="Discharge17" hidden="1"/>
        <xdr:cNvSpPr/>
      </xdr:nvSpPr>
      <xdr:spPr>
        <a:xfrm rot="19115162">
          <a:off x="5487866" y="4278922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13</xdr:col>
      <xdr:colOff>271097</xdr:colOff>
      <xdr:row>17</xdr:row>
      <xdr:rowOff>14654</xdr:rowOff>
    </xdr:from>
    <xdr:ext cx="5870342" cy="1533791"/>
    <xdr:sp macro="" textlink="">
      <xdr:nvSpPr>
        <xdr:cNvPr id="124" name="Discharge18" hidden="1"/>
        <xdr:cNvSpPr/>
      </xdr:nvSpPr>
      <xdr:spPr>
        <a:xfrm rot="19115162">
          <a:off x="5575789" y="4418135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175845</xdr:colOff>
      <xdr:row>17</xdr:row>
      <xdr:rowOff>58616</xdr:rowOff>
    </xdr:from>
    <xdr:ext cx="5497951" cy="1533791"/>
    <xdr:sp macro="" textlink="">
      <xdr:nvSpPr>
        <xdr:cNvPr id="125" name="Discharge19" hidden="1"/>
        <xdr:cNvSpPr/>
      </xdr:nvSpPr>
      <xdr:spPr>
        <a:xfrm rot="19115162">
          <a:off x="6052037" y="4462097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51287</xdr:colOff>
      <xdr:row>18</xdr:row>
      <xdr:rowOff>124556</xdr:rowOff>
    </xdr:from>
    <xdr:ext cx="5497951" cy="1533791"/>
    <xdr:sp macro="" textlink="">
      <xdr:nvSpPr>
        <xdr:cNvPr id="126" name="Discharge20" hidden="1"/>
        <xdr:cNvSpPr/>
      </xdr:nvSpPr>
      <xdr:spPr>
        <a:xfrm rot="19115162">
          <a:off x="5927479" y="4835768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29308</xdr:colOff>
      <xdr:row>18</xdr:row>
      <xdr:rowOff>146538</xdr:rowOff>
    </xdr:from>
    <xdr:ext cx="5497951" cy="1533791"/>
    <xdr:sp macro="" textlink="">
      <xdr:nvSpPr>
        <xdr:cNvPr id="127" name="Discharge21" hidden="1"/>
        <xdr:cNvSpPr/>
      </xdr:nvSpPr>
      <xdr:spPr>
        <a:xfrm rot="19115162">
          <a:off x="6191250" y="4857750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249116</xdr:colOff>
      <xdr:row>18</xdr:row>
      <xdr:rowOff>307728</xdr:rowOff>
    </xdr:from>
    <xdr:ext cx="4596560" cy="1533791"/>
    <xdr:sp macro="" textlink="">
      <xdr:nvSpPr>
        <xdr:cNvPr id="128" name="Discharge22" hidden="1"/>
        <xdr:cNvSpPr/>
      </xdr:nvSpPr>
      <xdr:spPr>
        <a:xfrm rot="19115162">
          <a:off x="6696808" y="5018940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18</xdr:col>
      <xdr:colOff>249116</xdr:colOff>
      <xdr:row>18</xdr:row>
      <xdr:rowOff>293078</xdr:rowOff>
    </xdr:from>
    <xdr:ext cx="4596560" cy="1533791"/>
    <xdr:sp macro="" textlink="">
      <xdr:nvSpPr>
        <xdr:cNvPr id="129" name="Discharge23" hidden="1"/>
        <xdr:cNvSpPr/>
      </xdr:nvSpPr>
      <xdr:spPr>
        <a:xfrm rot="19115162">
          <a:off x="6982558" y="5004290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183175</xdr:colOff>
      <xdr:row>19</xdr:row>
      <xdr:rowOff>205153</xdr:rowOff>
    </xdr:from>
    <xdr:ext cx="3731140" cy="1533791"/>
    <xdr:sp macro="" textlink="">
      <xdr:nvSpPr>
        <xdr:cNvPr id="130" name="Discharge24" hidden="1"/>
        <xdr:cNvSpPr/>
      </xdr:nvSpPr>
      <xdr:spPr>
        <a:xfrm rot="19115162">
          <a:off x="7488117" y="5224095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21</xdr:col>
      <xdr:colOff>227133</xdr:colOff>
      <xdr:row>19</xdr:row>
      <xdr:rowOff>197828</xdr:rowOff>
    </xdr:from>
    <xdr:ext cx="3731140" cy="1533791"/>
    <xdr:sp macro="" textlink="">
      <xdr:nvSpPr>
        <xdr:cNvPr id="131" name="Discharge25" hidden="1"/>
        <xdr:cNvSpPr/>
      </xdr:nvSpPr>
      <xdr:spPr>
        <a:xfrm rot="19115162">
          <a:off x="7817825" y="5216770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234460</xdr:colOff>
      <xdr:row>20</xdr:row>
      <xdr:rowOff>43961</xdr:rowOff>
    </xdr:from>
    <xdr:ext cx="3316202" cy="1533791"/>
    <xdr:sp macro="" textlink="">
      <xdr:nvSpPr>
        <xdr:cNvPr id="132" name="Discharge26" hidden="1"/>
        <xdr:cNvSpPr/>
      </xdr:nvSpPr>
      <xdr:spPr>
        <a:xfrm rot="19115162">
          <a:off x="8110902" y="5370634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205152</xdr:colOff>
      <xdr:row>20</xdr:row>
      <xdr:rowOff>51290</xdr:rowOff>
    </xdr:from>
    <xdr:ext cx="3316202" cy="1533791"/>
    <xdr:sp macro="" textlink="">
      <xdr:nvSpPr>
        <xdr:cNvPr id="133" name="Discharge27" hidden="1"/>
        <xdr:cNvSpPr/>
      </xdr:nvSpPr>
      <xdr:spPr>
        <a:xfrm rot="19115162">
          <a:off x="8367344" y="5377963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11990</xdr:colOff>
      <xdr:row>4</xdr:row>
      <xdr:rowOff>6661</xdr:rowOff>
    </xdr:from>
    <xdr:ext cx="1533791" cy="6771861"/>
    <xdr:sp macro="" textlink="">
      <xdr:nvSpPr>
        <xdr:cNvPr id="134" name="Discharge28" hidden="1"/>
        <xdr:cNvSpPr/>
      </xdr:nvSpPr>
      <xdr:spPr>
        <a:xfrm rot="16200000">
          <a:off x="6129978" y="3517582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267766</xdr:colOff>
      <xdr:row>5</xdr:row>
      <xdr:rowOff>123228</xdr:rowOff>
    </xdr:from>
    <xdr:ext cx="1533791" cy="6161942"/>
    <xdr:sp macro="" textlink="">
      <xdr:nvSpPr>
        <xdr:cNvPr id="135" name="Discharge29" hidden="1"/>
        <xdr:cNvSpPr/>
      </xdr:nvSpPr>
      <xdr:spPr>
        <a:xfrm rot="16200000">
          <a:off x="6690714" y="3537008"/>
          <a:ext cx="61619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27</xdr:col>
      <xdr:colOff>78598</xdr:colOff>
      <xdr:row>4</xdr:row>
      <xdr:rowOff>191835</xdr:rowOff>
    </xdr:from>
    <xdr:ext cx="1533791" cy="6408185"/>
    <xdr:sp macro="" textlink="">
      <xdr:nvSpPr>
        <xdr:cNvPr id="136" name="Discharge30" hidden="1"/>
        <xdr:cNvSpPr/>
      </xdr:nvSpPr>
      <xdr:spPr>
        <a:xfrm rot="16200000">
          <a:off x="6949924" y="3520918"/>
          <a:ext cx="640818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38</xdr:col>
      <xdr:colOff>554879</xdr:colOff>
      <xdr:row>27</xdr:row>
      <xdr:rowOff>143207</xdr:rowOff>
    </xdr:to>
    <xdr:pic macro="[0]!Picture2_Click">
      <xdr:nvPicPr>
        <xdr:cNvPr id="137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05744" cy="7801840"/>
        </a:xfrm>
        <a:prstGeom prst="rect">
          <a:avLst/>
        </a:prstGeom>
      </xdr:spPr>
    </xdr:pic>
    <xdr:clientData/>
  </xdr:twoCellAnchor>
  <xdr:twoCellAnchor>
    <xdr:from>
      <xdr:col>33</xdr:col>
      <xdr:colOff>277092</xdr:colOff>
      <xdr:row>27</xdr:row>
      <xdr:rowOff>268432</xdr:rowOff>
    </xdr:from>
    <xdr:to>
      <xdr:col>37</xdr:col>
      <xdr:colOff>372341</xdr:colOff>
      <xdr:row>32</xdr:row>
      <xdr:rowOff>43296</xdr:rowOff>
    </xdr:to>
    <xdr:sp macro="[0]!add_status_code" textlink="">
      <xdr:nvSpPr>
        <xdr:cNvPr id="138" name="Rounded Rectangle 137"/>
        <xdr:cNvSpPr/>
      </xdr:nvSpPr>
      <xdr:spPr>
        <a:xfrm>
          <a:off x="11490615" y="7680614"/>
          <a:ext cx="2519794" cy="12036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L35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6.85546875" style="13" hidden="1" customWidth="1"/>
    <col min="2" max="2" width="5.85546875" style="13" customWidth="1"/>
    <col min="3" max="3" width="4.140625" style="13" customWidth="1"/>
    <col min="4" max="4" width="8.42578125" style="13" customWidth="1"/>
    <col min="5" max="5" width="1.28515625" style="13" customWidth="1"/>
    <col min="6" max="6" width="6.28515625" style="13" customWidth="1"/>
    <col min="7" max="7" width="1.28515625" style="13" customWidth="1"/>
    <col min="8" max="8" width="16.28515625" style="13" customWidth="1"/>
    <col min="9" max="9" width="15.42578125" style="13" customWidth="1"/>
    <col min="10" max="10" width="6.28515625" style="13" customWidth="1"/>
    <col min="11" max="11" width="5.85546875" style="13" customWidth="1"/>
    <col min="12" max="12" width="6.140625" style="13" customWidth="1"/>
    <col min="13" max="16384" width="9.140625" style="13"/>
  </cols>
  <sheetData>
    <row r="3" spans="1:12" ht="15.75" thickBot="1" x14ac:dyDescent="0.3"/>
    <row r="4" spans="1:12" ht="15.75" thickBot="1" x14ac:dyDescent="0.3">
      <c r="J4" s="77" t="s">
        <v>37</v>
      </c>
      <c r="K4" s="78"/>
      <c r="L4" s="79"/>
    </row>
    <row r="5" spans="1:12" ht="7.5" customHeight="1" x14ac:dyDescent="0.25"/>
    <row r="6" spans="1:12" ht="9.75" customHeight="1" x14ac:dyDescent="0.25"/>
    <row r="7" spans="1:12" x14ac:dyDescent="0.25">
      <c r="A7" s="13" t="s">
        <v>35</v>
      </c>
    </row>
    <row r="8" spans="1:12" x14ac:dyDescent="0.25">
      <c r="A8" s="13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2" ht="12.75" customHeight="1" x14ac:dyDescent="0.35">
      <c r="A9" s="13" t="s">
        <v>36</v>
      </c>
      <c r="D9" s="14" t="s">
        <v>40</v>
      </c>
      <c r="E9" s="15"/>
      <c r="F9" s="16" t="s">
        <v>41</v>
      </c>
      <c r="G9" s="17"/>
      <c r="H9" s="14" t="s">
        <v>43</v>
      </c>
      <c r="I9" s="18" t="s">
        <v>42</v>
      </c>
      <c r="J9" s="19"/>
    </row>
    <row r="10" spans="1:12" ht="6.75" customHeight="1" x14ac:dyDescent="0.25">
      <c r="A10" s="13" t="b">
        <f>IF(F10=2016, 16, IF(F10=2017, 17))</f>
        <v>0</v>
      </c>
      <c r="D10" s="28"/>
      <c r="E10" s="58" t="str">
        <f>HYPERLINK("#"&amp;ADDRESS(ROW(),COLUMN()-1),"q")</f>
        <v>q</v>
      </c>
      <c r="F10" s="29"/>
      <c r="G10" s="58" t="str">
        <f>HYPERLINK("#"&amp;ADDRESS(ROW(),COLUMN()-1),"q")</f>
        <v>q</v>
      </c>
      <c r="H10" s="30"/>
      <c r="I10" s="31"/>
      <c r="J10" s="20"/>
    </row>
    <row r="11" spans="1:12" ht="15.75" thickBot="1" x14ac:dyDescent="0.3"/>
    <row r="12" spans="1:12" x14ac:dyDescent="0.25">
      <c r="C12" s="21" t="s">
        <v>44</v>
      </c>
      <c r="D12" s="22"/>
      <c r="E12" s="22"/>
      <c r="F12" s="22" t="s">
        <v>45</v>
      </c>
      <c r="G12" s="22"/>
      <c r="H12" s="22"/>
      <c r="I12" s="22"/>
      <c r="J12" s="32"/>
    </row>
    <row r="13" spans="1:12" x14ac:dyDescent="0.25">
      <c r="C13" s="23"/>
      <c r="D13" s="24" t="s">
        <v>65</v>
      </c>
      <c r="E13" s="24"/>
      <c r="F13" s="24"/>
      <c r="G13" s="24"/>
      <c r="H13" s="24"/>
      <c r="I13" s="24"/>
      <c r="J13" s="33"/>
    </row>
    <row r="14" spans="1:12" ht="15.75" thickBot="1" x14ac:dyDescent="0.3">
      <c r="C14" s="25"/>
      <c r="D14" s="26" t="s">
        <v>46</v>
      </c>
      <c r="E14" s="26"/>
      <c r="F14" s="26"/>
      <c r="G14" s="26"/>
      <c r="H14" s="26"/>
      <c r="I14" s="26"/>
      <c r="J14" s="34"/>
    </row>
    <row r="15" spans="1:12" x14ac:dyDescent="0.25">
      <c r="D15" s="24"/>
      <c r="E15" s="24"/>
      <c r="F15" s="24"/>
      <c r="G15" s="24"/>
      <c r="H15" s="24"/>
      <c r="I15" s="24"/>
      <c r="J15" s="24"/>
    </row>
    <row r="17" spans="1:2" ht="18" customHeight="1" x14ac:dyDescent="0.25">
      <c r="A17" s="13">
        <v>2017</v>
      </c>
    </row>
    <row r="18" spans="1:2" x14ac:dyDescent="0.25">
      <c r="A18" s="13">
        <v>2018</v>
      </c>
    </row>
    <row r="19" spans="1:2" x14ac:dyDescent="0.25">
      <c r="A19" s="13" t="str">
        <f>LEFT(H10, 11)</f>
        <v/>
      </c>
    </row>
    <row r="20" spans="1:2" x14ac:dyDescent="0.25">
      <c r="A20" s="13" t="str">
        <f>LEFT(I10, 1)</f>
        <v/>
      </c>
    </row>
    <row r="22" spans="1:2" x14ac:dyDescent="0.25">
      <c r="B22" s="27"/>
    </row>
    <row r="24" spans="1:2" x14ac:dyDescent="0.25">
      <c r="A24" s="13" t="s">
        <v>23</v>
      </c>
    </row>
    <row r="25" spans="1:2" x14ac:dyDescent="0.25">
      <c r="A25" s="13" t="s">
        <v>24</v>
      </c>
    </row>
    <row r="26" spans="1:2" x14ac:dyDescent="0.25">
      <c r="A26" s="13" t="s">
        <v>34</v>
      </c>
    </row>
    <row r="27" spans="1:2" x14ac:dyDescent="0.25">
      <c r="A27" s="13" t="s">
        <v>25</v>
      </c>
    </row>
    <row r="28" spans="1:2" x14ac:dyDescent="0.25">
      <c r="A28" s="13" t="s">
        <v>26</v>
      </c>
    </row>
    <row r="29" spans="1:2" x14ac:dyDescent="0.25">
      <c r="A29" s="13" t="s">
        <v>32</v>
      </c>
    </row>
    <row r="30" spans="1:2" x14ac:dyDescent="0.25">
      <c r="A30" s="13" t="s">
        <v>33</v>
      </c>
    </row>
    <row r="31" spans="1:2" x14ac:dyDescent="0.25">
      <c r="A31" s="13" t="s">
        <v>27</v>
      </c>
    </row>
    <row r="32" spans="1:2" x14ac:dyDescent="0.25">
      <c r="A32" s="13" t="s">
        <v>31</v>
      </c>
    </row>
    <row r="33" spans="1:1" x14ac:dyDescent="0.25">
      <c r="A33" s="13" t="s">
        <v>28</v>
      </c>
    </row>
    <row r="34" spans="1:1" x14ac:dyDescent="0.25">
      <c r="A34" s="13" t="s">
        <v>29</v>
      </c>
    </row>
    <row r="35" spans="1:1" x14ac:dyDescent="0.25">
      <c r="A35" s="13" t="s">
        <v>30</v>
      </c>
    </row>
  </sheetData>
  <sheetProtection password="A2E9" sheet="1" objects="1" scenarios="1" selectLockedCells="1"/>
  <mergeCells count="1">
    <mergeCell ref="J4:L4"/>
  </mergeCells>
  <dataValidations count="2">
    <dataValidation type="list" allowBlank="1" showInputMessage="1" showErrorMessage="1" sqref="F10">
      <formula1>$A$17:$A$18</formula1>
    </dataValidation>
    <dataValidation type="list" allowBlank="1" showInputMessage="1" showErrorMessage="1" sqref="D10">
      <formula1>A24:A35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89"/>
  <sheetViews>
    <sheetView zoomScale="110" zoomScaleNormal="11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9" sqref="A9"/>
    </sheetView>
  </sheetViews>
  <sheetFormatPr defaultRowHeight="12.75" x14ac:dyDescent="0.2"/>
  <cols>
    <col min="1" max="1" width="28.140625" style="11" bestFit="1" customWidth="1"/>
    <col min="2" max="32" width="4.28515625" style="11" customWidth="1"/>
    <col min="33" max="33" width="7.140625" style="11" customWidth="1"/>
    <col min="34" max="220" width="9.140625" style="11"/>
    <col min="221" max="221" width="18.85546875" style="11" customWidth="1"/>
    <col min="222" max="222" width="3.5703125" style="11" customWidth="1"/>
    <col min="223" max="223" width="3.85546875" style="11" customWidth="1"/>
    <col min="224" max="252" width="3.5703125" style="11" customWidth="1"/>
    <col min="253" max="253" width="7.140625" style="11" customWidth="1"/>
    <col min="254" max="476" width="9.140625" style="11"/>
    <col min="477" max="477" width="18.85546875" style="11" customWidth="1"/>
    <col min="478" max="478" width="3.5703125" style="11" customWidth="1"/>
    <col min="479" max="479" width="3.85546875" style="11" customWidth="1"/>
    <col min="480" max="508" width="3.5703125" style="11" customWidth="1"/>
    <col min="509" max="509" width="7.140625" style="11" customWidth="1"/>
    <col min="510" max="732" width="9.140625" style="11"/>
    <col min="733" max="733" width="18.85546875" style="11" customWidth="1"/>
    <col min="734" max="734" width="3.5703125" style="11" customWidth="1"/>
    <col min="735" max="735" width="3.85546875" style="11" customWidth="1"/>
    <col min="736" max="764" width="3.5703125" style="11" customWidth="1"/>
    <col min="765" max="765" width="7.140625" style="11" customWidth="1"/>
    <col min="766" max="988" width="9.140625" style="11"/>
    <col min="989" max="989" width="18.85546875" style="11" customWidth="1"/>
    <col min="990" max="990" width="3.5703125" style="11" customWidth="1"/>
    <col min="991" max="991" width="3.85546875" style="11" customWidth="1"/>
    <col min="992" max="1020" width="3.5703125" style="11" customWidth="1"/>
    <col min="1021" max="1021" width="7.140625" style="11" customWidth="1"/>
    <col min="1022" max="1244" width="9.140625" style="11"/>
    <col min="1245" max="1245" width="18.85546875" style="11" customWidth="1"/>
    <col min="1246" max="1246" width="3.5703125" style="11" customWidth="1"/>
    <col min="1247" max="1247" width="3.85546875" style="11" customWidth="1"/>
    <col min="1248" max="1276" width="3.5703125" style="11" customWidth="1"/>
    <col min="1277" max="1277" width="7.140625" style="11" customWidth="1"/>
    <col min="1278" max="1500" width="9.140625" style="11"/>
    <col min="1501" max="1501" width="18.85546875" style="11" customWidth="1"/>
    <col min="1502" max="1502" width="3.5703125" style="11" customWidth="1"/>
    <col min="1503" max="1503" width="3.85546875" style="11" customWidth="1"/>
    <col min="1504" max="1532" width="3.5703125" style="11" customWidth="1"/>
    <col min="1533" max="1533" width="7.140625" style="11" customWidth="1"/>
    <col min="1534" max="1756" width="9.140625" style="11"/>
    <col min="1757" max="1757" width="18.85546875" style="11" customWidth="1"/>
    <col min="1758" max="1758" width="3.5703125" style="11" customWidth="1"/>
    <col min="1759" max="1759" width="3.85546875" style="11" customWidth="1"/>
    <col min="1760" max="1788" width="3.5703125" style="11" customWidth="1"/>
    <col min="1789" max="1789" width="7.140625" style="11" customWidth="1"/>
    <col min="1790" max="2012" width="9.140625" style="11"/>
    <col min="2013" max="2013" width="18.85546875" style="11" customWidth="1"/>
    <col min="2014" max="2014" width="3.5703125" style="11" customWidth="1"/>
    <col min="2015" max="2015" width="3.85546875" style="11" customWidth="1"/>
    <col min="2016" max="2044" width="3.5703125" style="11" customWidth="1"/>
    <col min="2045" max="2045" width="7.140625" style="11" customWidth="1"/>
    <col min="2046" max="2268" width="9.140625" style="11"/>
    <col min="2269" max="2269" width="18.85546875" style="11" customWidth="1"/>
    <col min="2270" max="2270" width="3.5703125" style="11" customWidth="1"/>
    <col min="2271" max="2271" width="3.85546875" style="11" customWidth="1"/>
    <col min="2272" max="2300" width="3.5703125" style="11" customWidth="1"/>
    <col min="2301" max="2301" width="7.140625" style="11" customWidth="1"/>
    <col min="2302" max="2524" width="9.140625" style="11"/>
    <col min="2525" max="2525" width="18.85546875" style="11" customWidth="1"/>
    <col min="2526" max="2526" width="3.5703125" style="11" customWidth="1"/>
    <col min="2527" max="2527" width="3.85546875" style="11" customWidth="1"/>
    <col min="2528" max="2556" width="3.5703125" style="11" customWidth="1"/>
    <col min="2557" max="2557" width="7.140625" style="11" customWidth="1"/>
    <col min="2558" max="2780" width="9.140625" style="11"/>
    <col min="2781" max="2781" width="18.85546875" style="11" customWidth="1"/>
    <col min="2782" max="2782" width="3.5703125" style="11" customWidth="1"/>
    <col min="2783" max="2783" width="3.85546875" style="11" customWidth="1"/>
    <col min="2784" max="2812" width="3.5703125" style="11" customWidth="1"/>
    <col min="2813" max="2813" width="7.140625" style="11" customWidth="1"/>
    <col min="2814" max="3036" width="9.140625" style="11"/>
    <col min="3037" max="3037" width="18.85546875" style="11" customWidth="1"/>
    <col min="3038" max="3038" width="3.5703125" style="11" customWidth="1"/>
    <col min="3039" max="3039" width="3.85546875" style="11" customWidth="1"/>
    <col min="3040" max="3068" width="3.5703125" style="11" customWidth="1"/>
    <col min="3069" max="3069" width="7.140625" style="11" customWidth="1"/>
    <col min="3070" max="3292" width="9.140625" style="11"/>
    <col min="3293" max="3293" width="18.85546875" style="11" customWidth="1"/>
    <col min="3294" max="3294" width="3.5703125" style="11" customWidth="1"/>
    <col min="3295" max="3295" width="3.85546875" style="11" customWidth="1"/>
    <col min="3296" max="3324" width="3.5703125" style="11" customWidth="1"/>
    <col min="3325" max="3325" width="7.140625" style="11" customWidth="1"/>
    <col min="3326" max="3548" width="9.140625" style="11"/>
    <col min="3549" max="3549" width="18.85546875" style="11" customWidth="1"/>
    <col min="3550" max="3550" width="3.5703125" style="11" customWidth="1"/>
    <col min="3551" max="3551" width="3.85546875" style="11" customWidth="1"/>
    <col min="3552" max="3580" width="3.5703125" style="11" customWidth="1"/>
    <col min="3581" max="3581" width="7.140625" style="11" customWidth="1"/>
    <col min="3582" max="3804" width="9.140625" style="11"/>
    <col min="3805" max="3805" width="18.85546875" style="11" customWidth="1"/>
    <col min="3806" max="3806" width="3.5703125" style="11" customWidth="1"/>
    <col min="3807" max="3807" width="3.85546875" style="11" customWidth="1"/>
    <col min="3808" max="3836" width="3.5703125" style="11" customWidth="1"/>
    <col min="3837" max="3837" width="7.140625" style="11" customWidth="1"/>
    <col min="3838" max="4060" width="9.140625" style="11"/>
    <col min="4061" max="4061" width="18.85546875" style="11" customWidth="1"/>
    <col min="4062" max="4062" width="3.5703125" style="11" customWidth="1"/>
    <col min="4063" max="4063" width="3.85546875" style="11" customWidth="1"/>
    <col min="4064" max="4092" width="3.5703125" style="11" customWidth="1"/>
    <col min="4093" max="4093" width="7.140625" style="11" customWidth="1"/>
    <col min="4094" max="4316" width="9.140625" style="11"/>
    <col min="4317" max="4317" width="18.85546875" style="11" customWidth="1"/>
    <col min="4318" max="4318" width="3.5703125" style="11" customWidth="1"/>
    <col min="4319" max="4319" width="3.85546875" style="11" customWidth="1"/>
    <col min="4320" max="4348" width="3.5703125" style="11" customWidth="1"/>
    <col min="4349" max="4349" width="7.140625" style="11" customWidth="1"/>
    <col min="4350" max="4572" width="9.140625" style="11"/>
    <col min="4573" max="4573" width="18.85546875" style="11" customWidth="1"/>
    <col min="4574" max="4574" width="3.5703125" style="11" customWidth="1"/>
    <col min="4575" max="4575" width="3.85546875" style="11" customWidth="1"/>
    <col min="4576" max="4604" width="3.5703125" style="11" customWidth="1"/>
    <col min="4605" max="4605" width="7.140625" style="11" customWidth="1"/>
    <col min="4606" max="4828" width="9.140625" style="11"/>
    <col min="4829" max="4829" width="18.85546875" style="11" customWidth="1"/>
    <col min="4830" max="4830" width="3.5703125" style="11" customWidth="1"/>
    <col min="4831" max="4831" width="3.85546875" style="11" customWidth="1"/>
    <col min="4832" max="4860" width="3.5703125" style="11" customWidth="1"/>
    <col min="4861" max="4861" width="7.140625" style="11" customWidth="1"/>
    <col min="4862" max="5084" width="9.140625" style="11"/>
    <col min="5085" max="5085" width="18.85546875" style="11" customWidth="1"/>
    <col min="5086" max="5086" width="3.5703125" style="11" customWidth="1"/>
    <col min="5087" max="5087" width="3.85546875" style="11" customWidth="1"/>
    <col min="5088" max="5116" width="3.5703125" style="11" customWidth="1"/>
    <col min="5117" max="5117" width="7.140625" style="11" customWidth="1"/>
    <col min="5118" max="5340" width="9.140625" style="11"/>
    <col min="5341" max="5341" width="18.85546875" style="11" customWidth="1"/>
    <col min="5342" max="5342" width="3.5703125" style="11" customWidth="1"/>
    <col min="5343" max="5343" width="3.85546875" style="11" customWidth="1"/>
    <col min="5344" max="5372" width="3.5703125" style="11" customWidth="1"/>
    <col min="5373" max="5373" width="7.140625" style="11" customWidth="1"/>
    <col min="5374" max="5596" width="9.140625" style="11"/>
    <col min="5597" max="5597" width="18.85546875" style="11" customWidth="1"/>
    <col min="5598" max="5598" width="3.5703125" style="11" customWidth="1"/>
    <col min="5599" max="5599" width="3.85546875" style="11" customWidth="1"/>
    <col min="5600" max="5628" width="3.5703125" style="11" customWidth="1"/>
    <col min="5629" max="5629" width="7.140625" style="11" customWidth="1"/>
    <col min="5630" max="5852" width="9.140625" style="11"/>
    <col min="5853" max="5853" width="18.85546875" style="11" customWidth="1"/>
    <col min="5854" max="5854" width="3.5703125" style="11" customWidth="1"/>
    <col min="5855" max="5855" width="3.85546875" style="11" customWidth="1"/>
    <col min="5856" max="5884" width="3.5703125" style="11" customWidth="1"/>
    <col min="5885" max="5885" width="7.140625" style="11" customWidth="1"/>
    <col min="5886" max="6108" width="9.140625" style="11"/>
    <col min="6109" max="6109" width="18.85546875" style="11" customWidth="1"/>
    <col min="6110" max="6110" width="3.5703125" style="11" customWidth="1"/>
    <col min="6111" max="6111" width="3.85546875" style="11" customWidth="1"/>
    <col min="6112" max="6140" width="3.5703125" style="11" customWidth="1"/>
    <col min="6141" max="6141" width="7.140625" style="11" customWidth="1"/>
    <col min="6142" max="6364" width="9.140625" style="11"/>
    <col min="6365" max="6365" width="18.85546875" style="11" customWidth="1"/>
    <col min="6366" max="6366" width="3.5703125" style="11" customWidth="1"/>
    <col min="6367" max="6367" width="3.85546875" style="11" customWidth="1"/>
    <col min="6368" max="6396" width="3.5703125" style="11" customWidth="1"/>
    <col min="6397" max="6397" width="7.140625" style="11" customWidth="1"/>
    <col min="6398" max="6620" width="9.140625" style="11"/>
    <col min="6621" max="6621" width="18.85546875" style="11" customWidth="1"/>
    <col min="6622" max="6622" width="3.5703125" style="11" customWidth="1"/>
    <col min="6623" max="6623" width="3.85546875" style="11" customWidth="1"/>
    <col min="6624" max="6652" width="3.5703125" style="11" customWidth="1"/>
    <col min="6653" max="6653" width="7.140625" style="11" customWidth="1"/>
    <col min="6654" max="6876" width="9.140625" style="11"/>
    <col min="6877" max="6877" width="18.85546875" style="11" customWidth="1"/>
    <col min="6878" max="6878" width="3.5703125" style="11" customWidth="1"/>
    <col min="6879" max="6879" width="3.85546875" style="11" customWidth="1"/>
    <col min="6880" max="6908" width="3.5703125" style="11" customWidth="1"/>
    <col min="6909" max="6909" width="7.140625" style="11" customWidth="1"/>
    <col min="6910" max="7132" width="9.140625" style="11"/>
    <col min="7133" max="7133" width="18.85546875" style="11" customWidth="1"/>
    <col min="7134" max="7134" width="3.5703125" style="11" customWidth="1"/>
    <col min="7135" max="7135" width="3.85546875" style="11" customWidth="1"/>
    <col min="7136" max="7164" width="3.5703125" style="11" customWidth="1"/>
    <col min="7165" max="7165" width="7.140625" style="11" customWidth="1"/>
    <col min="7166" max="7388" width="9.140625" style="11"/>
    <col min="7389" max="7389" width="18.85546875" style="11" customWidth="1"/>
    <col min="7390" max="7390" width="3.5703125" style="11" customWidth="1"/>
    <col min="7391" max="7391" width="3.85546875" style="11" customWidth="1"/>
    <col min="7392" max="7420" width="3.5703125" style="11" customWidth="1"/>
    <col min="7421" max="7421" width="7.140625" style="11" customWidth="1"/>
    <col min="7422" max="7644" width="9.140625" style="11"/>
    <col min="7645" max="7645" width="18.85546875" style="11" customWidth="1"/>
    <col min="7646" max="7646" width="3.5703125" style="11" customWidth="1"/>
    <col min="7647" max="7647" width="3.85546875" style="11" customWidth="1"/>
    <col min="7648" max="7676" width="3.5703125" style="11" customWidth="1"/>
    <col min="7677" max="7677" width="7.140625" style="11" customWidth="1"/>
    <col min="7678" max="7900" width="9.140625" style="11"/>
    <col min="7901" max="7901" width="18.85546875" style="11" customWidth="1"/>
    <col min="7902" max="7902" width="3.5703125" style="11" customWidth="1"/>
    <col min="7903" max="7903" width="3.85546875" style="11" customWidth="1"/>
    <col min="7904" max="7932" width="3.5703125" style="11" customWidth="1"/>
    <col min="7933" max="7933" width="7.140625" style="11" customWidth="1"/>
    <col min="7934" max="8156" width="9.140625" style="11"/>
    <col min="8157" max="8157" width="18.85546875" style="11" customWidth="1"/>
    <col min="8158" max="8158" width="3.5703125" style="11" customWidth="1"/>
    <col min="8159" max="8159" width="3.85546875" style="11" customWidth="1"/>
    <col min="8160" max="8188" width="3.5703125" style="11" customWidth="1"/>
    <col min="8189" max="8189" width="7.140625" style="11" customWidth="1"/>
    <col min="8190" max="8412" width="9.140625" style="11"/>
    <col min="8413" max="8413" width="18.85546875" style="11" customWidth="1"/>
    <col min="8414" max="8414" width="3.5703125" style="11" customWidth="1"/>
    <col min="8415" max="8415" width="3.85546875" style="11" customWidth="1"/>
    <col min="8416" max="8444" width="3.5703125" style="11" customWidth="1"/>
    <col min="8445" max="8445" width="7.140625" style="11" customWidth="1"/>
    <col min="8446" max="8668" width="9.140625" style="11"/>
    <col min="8669" max="8669" width="18.85546875" style="11" customWidth="1"/>
    <col min="8670" max="8670" width="3.5703125" style="11" customWidth="1"/>
    <col min="8671" max="8671" width="3.85546875" style="11" customWidth="1"/>
    <col min="8672" max="8700" width="3.5703125" style="11" customWidth="1"/>
    <col min="8701" max="8701" width="7.140625" style="11" customWidth="1"/>
    <col min="8702" max="8924" width="9.140625" style="11"/>
    <col min="8925" max="8925" width="18.85546875" style="11" customWidth="1"/>
    <col min="8926" max="8926" width="3.5703125" style="11" customWidth="1"/>
    <col min="8927" max="8927" width="3.85546875" style="11" customWidth="1"/>
    <col min="8928" max="8956" width="3.5703125" style="11" customWidth="1"/>
    <col min="8957" max="8957" width="7.140625" style="11" customWidth="1"/>
    <col min="8958" max="9180" width="9.140625" style="11"/>
    <col min="9181" max="9181" width="18.85546875" style="11" customWidth="1"/>
    <col min="9182" max="9182" width="3.5703125" style="11" customWidth="1"/>
    <col min="9183" max="9183" width="3.85546875" style="11" customWidth="1"/>
    <col min="9184" max="9212" width="3.5703125" style="11" customWidth="1"/>
    <col min="9213" max="9213" width="7.140625" style="11" customWidth="1"/>
    <col min="9214" max="9436" width="9.140625" style="11"/>
    <col min="9437" max="9437" width="18.85546875" style="11" customWidth="1"/>
    <col min="9438" max="9438" width="3.5703125" style="11" customWidth="1"/>
    <col min="9439" max="9439" width="3.85546875" style="11" customWidth="1"/>
    <col min="9440" max="9468" width="3.5703125" style="11" customWidth="1"/>
    <col min="9469" max="9469" width="7.140625" style="11" customWidth="1"/>
    <col min="9470" max="9692" width="9.140625" style="11"/>
    <col min="9693" max="9693" width="18.85546875" style="11" customWidth="1"/>
    <col min="9694" max="9694" width="3.5703125" style="11" customWidth="1"/>
    <col min="9695" max="9695" width="3.85546875" style="11" customWidth="1"/>
    <col min="9696" max="9724" width="3.5703125" style="11" customWidth="1"/>
    <col min="9725" max="9725" width="7.140625" style="11" customWidth="1"/>
    <col min="9726" max="9948" width="9.140625" style="11"/>
    <col min="9949" max="9949" width="18.85546875" style="11" customWidth="1"/>
    <col min="9950" max="9950" width="3.5703125" style="11" customWidth="1"/>
    <col min="9951" max="9951" width="3.85546875" style="11" customWidth="1"/>
    <col min="9952" max="9980" width="3.5703125" style="11" customWidth="1"/>
    <col min="9981" max="9981" width="7.140625" style="11" customWidth="1"/>
    <col min="9982" max="10204" width="9.140625" style="11"/>
    <col min="10205" max="10205" width="18.85546875" style="11" customWidth="1"/>
    <col min="10206" max="10206" width="3.5703125" style="11" customWidth="1"/>
    <col min="10207" max="10207" width="3.85546875" style="11" customWidth="1"/>
    <col min="10208" max="10236" width="3.5703125" style="11" customWidth="1"/>
    <col min="10237" max="10237" width="7.140625" style="11" customWidth="1"/>
    <col min="10238" max="10460" width="9.140625" style="11"/>
    <col min="10461" max="10461" width="18.85546875" style="11" customWidth="1"/>
    <col min="10462" max="10462" width="3.5703125" style="11" customWidth="1"/>
    <col min="10463" max="10463" width="3.85546875" style="11" customWidth="1"/>
    <col min="10464" max="10492" width="3.5703125" style="11" customWidth="1"/>
    <col min="10493" max="10493" width="7.140625" style="11" customWidth="1"/>
    <col min="10494" max="10716" width="9.140625" style="11"/>
    <col min="10717" max="10717" width="18.85546875" style="11" customWidth="1"/>
    <col min="10718" max="10718" width="3.5703125" style="11" customWidth="1"/>
    <col min="10719" max="10719" width="3.85546875" style="11" customWidth="1"/>
    <col min="10720" max="10748" width="3.5703125" style="11" customWidth="1"/>
    <col min="10749" max="10749" width="7.140625" style="11" customWidth="1"/>
    <col min="10750" max="10972" width="9.140625" style="11"/>
    <col min="10973" max="10973" width="18.85546875" style="11" customWidth="1"/>
    <col min="10974" max="10974" width="3.5703125" style="11" customWidth="1"/>
    <col min="10975" max="10975" width="3.85546875" style="11" customWidth="1"/>
    <col min="10976" max="11004" width="3.5703125" style="11" customWidth="1"/>
    <col min="11005" max="11005" width="7.140625" style="11" customWidth="1"/>
    <col min="11006" max="11228" width="9.140625" style="11"/>
    <col min="11229" max="11229" width="18.85546875" style="11" customWidth="1"/>
    <col min="11230" max="11230" width="3.5703125" style="11" customWidth="1"/>
    <col min="11231" max="11231" width="3.85546875" style="11" customWidth="1"/>
    <col min="11232" max="11260" width="3.5703125" style="11" customWidth="1"/>
    <col min="11261" max="11261" width="7.140625" style="11" customWidth="1"/>
    <col min="11262" max="11484" width="9.140625" style="11"/>
    <col min="11485" max="11485" width="18.85546875" style="11" customWidth="1"/>
    <col min="11486" max="11486" width="3.5703125" style="11" customWidth="1"/>
    <col min="11487" max="11487" width="3.85546875" style="11" customWidth="1"/>
    <col min="11488" max="11516" width="3.5703125" style="11" customWidth="1"/>
    <col min="11517" max="11517" width="7.140625" style="11" customWidth="1"/>
    <col min="11518" max="11740" width="9.140625" style="11"/>
    <col min="11741" max="11741" width="18.85546875" style="11" customWidth="1"/>
    <col min="11742" max="11742" width="3.5703125" style="11" customWidth="1"/>
    <col min="11743" max="11743" width="3.85546875" style="11" customWidth="1"/>
    <col min="11744" max="11772" width="3.5703125" style="11" customWidth="1"/>
    <col min="11773" max="11773" width="7.140625" style="11" customWidth="1"/>
    <col min="11774" max="11996" width="9.140625" style="11"/>
    <col min="11997" max="11997" width="18.85546875" style="11" customWidth="1"/>
    <col min="11998" max="11998" width="3.5703125" style="11" customWidth="1"/>
    <col min="11999" max="11999" width="3.85546875" style="11" customWidth="1"/>
    <col min="12000" max="12028" width="3.5703125" style="11" customWidth="1"/>
    <col min="12029" max="12029" width="7.140625" style="11" customWidth="1"/>
    <col min="12030" max="12252" width="9.140625" style="11"/>
    <col min="12253" max="12253" width="18.85546875" style="11" customWidth="1"/>
    <col min="12254" max="12254" width="3.5703125" style="11" customWidth="1"/>
    <col min="12255" max="12255" width="3.85546875" style="11" customWidth="1"/>
    <col min="12256" max="12284" width="3.5703125" style="11" customWidth="1"/>
    <col min="12285" max="12285" width="7.140625" style="11" customWidth="1"/>
    <col min="12286" max="12508" width="9.140625" style="11"/>
    <col min="12509" max="12509" width="18.85546875" style="11" customWidth="1"/>
    <col min="12510" max="12510" width="3.5703125" style="11" customWidth="1"/>
    <col min="12511" max="12511" width="3.85546875" style="11" customWidth="1"/>
    <col min="12512" max="12540" width="3.5703125" style="11" customWidth="1"/>
    <col min="12541" max="12541" width="7.140625" style="11" customWidth="1"/>
    <col min="12542" max="12764" width="9.140625" style="11"/>
    <col min="12765" max="12765" width="18.85546875" style="11" customWidth="1"/>
    <col min="12766" max="12766" width="3.5703125" style="11" customWidth="1"/>
    <col min="12767" max="12767" width="3.85546875" style="11" customWidth="1"/>
    <col min="12768" max="12796" width="3.5703125" style="11" customWidth="1"/>
    <col min="12797" max="12797" width="7.140625" style="11" customWidth="1"/>
    <col min="12798" max="13020" width="9.140625" style="11"/>
    <col min="13021" max="13021" width="18.85546875" style="11" customWidth="1"/>
    <col min="13022" max="13022" width="3.5703125" style="11" customWidth="1"/>
    <col min="13023" max="13023" width="3.85546875" style="11" customWidth="1"/>
    <col min="13024" max="13052" width="3.5703125" style="11" customWidth="1"/>
    <col min="13053" max="13053" width="7.140625" style="11" customWidth="1"/>
    <col min="13054" max="13276" width="9.140625" style="11"/>
    <col min="13277" max="13277" width="18.85546875" style="11" customWidth="1"/>
    <col min="13278" max="13278" width="3.5703125" style="11" customWidth="1"/>
    <col min="13279" max="13279" width="3.85546875" style="11" customWidth="1"/>
    <col min="13280" max="13308" width="3.5703125" style="11" customWidth="1"/>
    <col min="13309" max="13309" width="7.140625" style="11" customWidth="1"/>
    <col min="13310" max="13532" width="9.140625" style="11"/>
    <col min="13533" max="13533" width="18.85546875" style="11" customWidth="1"/>
    <col min="13534" max="13534" width="3.5703125" style="11" customWidth="1"/>
    <col min="13535" max="13535" width="3.85546875" style="11" customWidth="1"/>
    <col min="13536" max="13564" width="3.5703125" style="11" customWidth="1"/>
    <col min="13565" max="13565" width="7.140625" style="11" customWidth="1"/>
    <col min="13566" max="13788" width="9.140625" style="11"/>
    <col min="13789" max="13789" width="18.85546875" style="11" customWidth="1"/>
    <col min="13790" max="13790" width="3.5703125" style="11" customWidth="1"/>
    <col min="13791" max="13791" width="3.85546875" style="11" customWidth="1"/>
    <col min="13792" max="13820" width="3.5703125" style="11" customWidth="1"/>
    <col min="13821" max="13821" width="7.140625" style="11" customWidth="1"/>
    <col min="13822" max="14044" width="9.140625" style="11"/>
    <col min="14045" max="14045" width="18.85546875" style="11" customWidth="1"/>
    <col min="14046" max="14046" width="3.5703125" style="11" customWidth="1"/>
    <col min="14047" max="14047" width="3.85546875" style="11" customWidth="1"/>
    <col min="14048" max="14076" width="3.5703125" style="11" customWidth="1"/>
    <col min="14077" max="14077" width="7.140625" style="11" customWidth="1"/>
    <col min="14078" max="14300" width="9.140625" style="11"/>
    <col min="14301" max="14301" width="18.85546875" style="11" customWidth="1"/>
    <col min="14302" max="14302" width="3.5703125" style="11" customWidth="1"/>
    <col min="14303" max="14303" width="3.85546875" style="11" customWidth="1"/>
    <col min="14304" max="14332" width="3.5703125" style="11" customWidth="1"/>
    <col min="14333" max="14333" width="7.140625" style="11" customWidth="1"/>
    <col min="14334" max="14556" width="9.140625" style="11"/>
    <col min="14557" max="14557" width="18.85546875" style="11" customWidth="1"/>
    <col min="14558" max="14558" width="3.5703125" style="11" customWidth="1"/>
    <col min="14559" max="14559" width="3.85546875" style="11" customWidth="1"/>
    <col min="14560" max="14588" width="3.5703125" style="11" customWidth="1"/>
    <col min="14589" max="14589" width="7.140625" style="11" customWidth="1"/>
    <col min="14590" max="14812" width="9.140625" style="11"/>
    <col min="14813" max="14813" width="18.85546875" style="11" customWidth="1"/>
    <col min="14814" max="14814" width="3.5703125" style="11" customWidth="1"/>
    <col min="14815" max="14815" width="3.85546875" style="11" customWidth="1"/>
    <col min="14816" max="14844" width="3.5703125" style="11" customWidth="1"/>
    <col min="14845" max="14845" width="7.140625" style="11" customWidth="1"/>
    <col min="14846" max="15068" width="9.140625" style="11"/>
    <col min="15069" max="15069" width="18.85546875" style="11" customWidth="1"/>
    <col min="15070" max="15070" width="3.5703125" style="11" customWidth="1"/>
    <col min="15071" max="15071" width="3.85546875" style="11" customWidth="1"/>
    <col min="15072" max="15100" width="3.5703125" style="11" customWidth="1"/>
    <col min="15101" max="15101" width="7.140625" style="11" customWidth="1"/>
    <col min="15102" max="15324" width="9.140625" style="11"/>
    <col min="15325" max="15325" width="18.85546875" style="11" customWidth="1"/>
    <col min="15326" max="15326" width="3.5703125" style="11" customWidth="1"/>
    <col min="15327" max="15327" width="3.85546875" style="11" customWidth="1"/>
    <col min="15328" max="15356" width="3.5703125" style="11" customWidth="1"/>
    <col min="15357" max="15357" width="7.140625" style="11" customWidth="1"/>
    <col min="15358" max="15580" width="9.140625" style="11"/>
    <col min="15581" max="15581" width="18.85546875" style="11" customWidth="1"/>
    <col min="15582" max="15582" width="3.5703125" style="11" customWidth="1"/>
    <col min="15583" max="15583" width="3.85546875" style="11" customWidth="1"/>
    <col min="15584" max="15612" width="3.5703125" style="11" customWidth="1"/>
    <col min="15613" max="15613" width="7.140625" style="11" customWidth="1"/>
    <col min="15614" max="15836" width="9.140625" style="11"/>
    <col min="15837" max="15837" width="18.85546875" style="11" customWidth="1"/>
    <col min="15838" max="15838" width="3.5703125" style="11" customWidth="1"/>
    <col min="15839" max="15839" width="3.85546875" style="11" customWidth="1"/>
    <col min="15840" max="15868" width="3.5703125" style="11" customWidth="1"/>
    <col min="15869" max="15869" width="7.140625" style="11" customWidth="1"/>
    <col min="15870" max="16092" width="9.140625" style="11"/>
    <col min="16093" max="16093" width="18.85546875" style="11" customWidth="1"/>
    <col min="16094" max="16094" width="3.5703125" style="11" customWidth="1"/>
    <col min="16095" max="16095" width="3.85546875" style="11" customWidth="1"/>
    <col min="16096" max="16124" width="3.5703125" style="11" customWidth="1"/>
    <col min="16125" max="16125" width="7.140625" style="11" customWidth="1"/>
    <col min="16126" max="16384" width="9.140625" style="11"/>
  </cols>
  <sheetData>
    <row r="1" spans="1:38" ht="27" customHeight="1" x14ac:dyDescent="0.2">
      <c r="A1" s="76" t="s">
        <v>73</v>
      </c>
      <c r="B1" s="82" t="s">
        <v>74</v>
      </c>
      <c r="C1" s="83"/>
      <c r="D1" s="83"/>
      <c r="E1" s="83"/>
      <c r="F1" s="83"/>
      <c r="G1" s="83"/>
      <c r="H1" s="84"/>
      <c r="I1" s="80" t="s">
        <v>0</v>
      </c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141" t="s">
        <v>47</v>
      </c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58" t="s">
        <v>72</v>
      </c>
      <c r="AI1" s="158"/>
      <c r="AJ1" s="158"/>
      <c r="AK1" s="158"/>
      <c r="AL1" s="158"/>
    </row>
    <row r="2" spans="1:38" ht="15.75" customHeight="1" x14ac:dyDescent="0.2">
      <c r="A2" s="38" t="s">
        <v>1</v>
      </c>
      <c r="B2" s="36"/>
      <c r="C2" s="35" t="s">
        <v>2</v>
      </c>
      <c r="D2" s="36"/>
      <c r="E2" s="36" t="s">
        <v>3</v>
      </c>
      <c r="F2" s="36"/>
      <c r="G2" s="36"/>
      <c r="H2" s="150" t="s">
        <v>4</v>
      </c>
      <c r="I2" s="150"/>
      <c r="J2" s="150"/>
      <c r="K2" s="150"/>
      <c r="L2" s="150"/>
      <c r="M2" s="150"/>
      <c r="N2" s="150"/>
      <c r="O2" s="151"/>
      <c r="P2" s="143"/>
      <c r="Q2" s="144"/>
      <c r="R2" s="145"/>
      <c r="S2" s="146" t="s">
        <v>5</v>
      </c>
      <c r="T2" s="147"/>
      <c r="U2" s="148" t="s">
        <v>6</v>
      </c>
      <c r="V2" s="148"/>
      <c r="W2" s="149" t="s">
        <v>66</v>
      </c>
      <c r="X2" s="146"/>
      <c r="Y2" s="146"/>
      <c r="Z2" s="146"/>
      <c r="AA2" s="146"/>
      <c r="AB2" s="146"/>
      <c r="AC2" s="146"/>
      <c r="AD2" s="146"/>
      <c r="AE2" s="146"/>
      <c r="AF2" s="146"/>
      <c r="AG2" s="147"/>
      <c r="AH2" s="158"/>
      <c r="AI2" s="158"/>
      <c r="AJ2" s="158"/>
      <c r="AK2" s="158"/>
      <c r="AL2" s="158"/>
    </row>
    <row r="3" spans="1:38" ht="18" customHeight="1" x14ac:dyDescent="0.2">
      <c r="A3" s="1" t="s">
        <v>7</v>
      </c>
      <c r="B3" s="138" t="s">
        <v>64</v>
      </c>
      <c r="C3" s="139"/>
      <c r="D3" s="139"/>
      <c r="E3" s="139"/>
      <c r="F3" s="139"/>
      <c r="G3" s="140"/>
      <c r="H3" s="125"/>
      <c r="I3" s="126"/>
      <c r="J3" s="126"/>
      <c r="K3" s="126"/>
      <c r="L3" s="126"/>
      <c r="M3" s="126"/>
      <c r="N3" s="127"/>
      <c r="O3" s="125"/>
      <c r="P3" s="126"/>
      <c r="Q3" s="126"/>
      <c r="R3" s="126"/>
      <c r="S3" s="126"/>
      <c r="T3" s="126"/>
      <c r="U3" s="127"/>
      <c r="V3" s="123" t="s">
        <v>8</v>
      </c>
      <c r="W3" s="124"/>
      <c r="X3" s="152"/>
      <c r="Y3" s="153"/>
      <c r="Z3" s="153"/>
      <c r="AA3" s="153"/>
      <c r="AB3" s="153"/>
      <c r="AC3" s="153"/>
      <c r="AD3" s="153"/>
      <c r="AE3" s="153"/>
      <c r="AF3" s="153"/>
      <c r="AG3" s="154"/>
      <c r="AH3" s="159"/>
      <c r="AI3" s="159"/>
      <c r="AJ3" s="159"/>
      <c r="AK3" s="159"/>
      <c r="AL3" s="159"/>
    </row>
    <row r="4" spans="1:38" ht="16.5" customHeight="1" x14ac:dyDescent="0.2">
      <c r="A4" s="105" t="s">
        <v>9</v>
      </c>
      <c r="B4" s="135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7"/>
      <c r="AH4" s="122" t="s">
        <v>38</v>
      </c>
      <c r="AI4" s="122"/>
      <c r="AJ4" s="122"/>
      <c r="AK4" s="122"/>
      <c r="AL4" s="122"/>
    </row>
    <row r="5" spans="1:38" ht="16.5" customHeight="1" x14ac:dyDescent="0.2">
      <c r="A5" s="106"/>
      <c r="B5" s="132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4"/>
      <c r="V5" s="123" t="s">
        <v>10</v>
      </c>
      <c r="W5" s="131"/>
      <c r="X5" s="132"/>
      <c r="Y5" s="133"/>
      <c r="Z5" s="133"/>
      <c r="AA5" s="133"/>
      <c r="AB5" s="133"/>
      <c r="AC5" s="133"/>
      <c r="AD5" s="133"/>
      <c r="AE5" s="133"/>
      <c r="AF5" s="133"/>
      <c r="AG5" s="134"/>
      <c r="AH5" s="122"/>
      <c r="AI5" s="122"/>
      <c r="AJ5" s="122"/>
      <c r="AK5" s="122"/>
      <c r="AL5" s="122"/>
    </row>
    <row r="6" spans="1:38" ht="12.75" customHeight="1" x14ac:dyDescent="0.2">
      <c r="A6" s="2" t="s">
        <v>11</v>
      </c>
      <c r="B6" s="128"/>
      <c r="C6" s="129"/>
      <c r="D6" s="130"/>
      <c r="E6" s="155" t="s">
        <v>12</v>
      </c>
      <c r="F6" s="156"/>
      <c r="G6" s="157"/>
      <c r="H6" s="128"/>
      <c r="I6" s="129"/>
      <c r="J6" s="129"/>
      <c r="K6" s="129"/>
      <c r="L6" s="129"/>
      <c r="M6" s="130"/>
      <c r="N6" s="155" t="s">
        <v>13</v>
      </c>
      <c r="O6" s="156"/>
      <c r="P6" s="157"/>
      <c r="Q6" s="128"/>
      <c r="R6" s="129"/>
      <c r="S6" s="129"/>
      <c r="T6" s="129"/>
      <c r="U6" s="129"/>
      <c r="V6" s="130"/>
      <c r="W6" s="123" t="s">
        <v>14</v>
      </c>
      <c r="X6" s="124"/>
      <c r="Y6" s="124"/>
      <c r="Z6" s="124"/>
      <c r="AA6" s="131"/>
      <c r="AB6" s="128"/>
      <c r="AC6" s="129"/>
      <c r="AD6" s="129"/>
      <c r="AE6" s="129"/>
      <c r="AF6" s="129"/>
      <c r="AG6" s="130"/>
      <c r="AH6" s="122"/>
      <c r="AI6" s="122"/>
      <c r="AJ6" s="122"/>
      <c r="AK6" s="122"/>
      <c r="AL6" s="122"/>
    </row>
    <row r="7" spans="1:38" s="12" customFormat="1" ht="13.5" customHeight="1" thickBot="1" x14ac:dyDescent="0.25">
      <c r="A7" s="3" t="s">
        <v>48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22"/>
      <c r="AI7" s="122"/>
      <c r="AJ7" s="122"/>
      <c r="AK7" s="122"/>
      <c r="AL7" s="122"/>
    </row>
    <row r="8" spans="1:38" ht="24.75" customHeight="1" x14ac:dyDescent="0.2">
      <c r="A8" s="55" t="s">
        <v>50</v>
      </c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41"/>
      <c r="AH8" s="122"/>
      <c r="AI8" s="122"/>
      <c r="AJ8" s="122"/>
      <c r="AK8" s="122"/>
      <c r="AL8" s="122"/>
    </row>
    <row r="9" spans="1:38" ht="24" customHeight="1" x14ac:dyDescent="0.2">
      <c r="A9" s="55" t="s">
        <v>51</v>
      </c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2"/>
      <c r="AH9" s="122"/>
      <c r="AI9" s="122"/>
      <c r="AJ9" s="122"/>
      <c r="AK9" s="122"/>
      <c r="AL9" s="122"/>
    </row>
    <row r="10" spans="1:38" ht="24" customHeight="1" x14ac:dyDescent="0.2">
      <c r="A10" s="55" t="s">
        <v>52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43"/>
      <c r="AH10" s="122"/>
      <c r="AI10" s="122"/>
      <c r="AJ10" s="122"/>
      <c r="AK10" s="122"/>
      <c r="AL10" s="122"/>
    </row>
    <row r="11" spans="1:38" ht="24" customHeight="1" x14ac:dyDescent="0.2">
      <c r="A11" s="55" t="s">
        <v>53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43"/>
      <c r="AH11" s="122"/>
      <c r="AI11" s="122"/>
      <c r="AJ11" s="122"/>
      <c r="AK11" s="122"/>
      <c r="AL11" s="122"/>
    </row>
    <row r="12" spans="1:38" ht="24" customHeight="1" x14ac:dyDescent="0.2">
      <c r="A12" s="55" t="s">
        <v>54</v>
      </c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3"/>
      <c r="AH12" s="122"/>
      <c r="AI12" s="122"/>
      <c r="AJ12" s="122"/>
      <c r="AK12" s="122"/>
      <c r="AL12" s="122"/>
    </row>
    <row r="13" spans="1:38" ht="23.25" customHeight="1" x14ac:dyDescent="0.2">
      <c r="A13" s="55" t="s">
        <v>55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44"/>
      <c r="AH13" s="122"/>
      <c r="AI13" s="122"/>
      <c r="AJ13" s="122"/>
      <c r="AK13" s="122"/>
      <c r="AL13" s="122"/>
    </row>
    <row r="14" spans="1:38" ht="24" customHeight="1" x14ac:dyDescent="0.2">
      <c r="A14" s="59" t="s">
        <v>58</v>
      </c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40"/>
      <c r="AH14" s="122"/>
      <c r="AI14" s="122"/>
      <c r="AJ14" s="122"/>
      <c r="AK14" s="122"/>
      <c r="AL14" s="122"/>
    </row>
    <row r="15" spans="1:38" ht="24" customHeight="1" thickBot="1" x14ac:dyDescent="0.25">
      <c r="A15" s="64" t="s">
        <v>69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"/>
      <c r="AH15" s="122"/>
      <c r="AI15" s="122"/>
      <c r="AJ15" s="122"/>
      <c r="AK15" s="122"/>
      <c r="AL15" s="122"/>
    </row>
    <row r="16" spans="1:38" ht="24" customHeight="1" x14ac:dyDescent="0.2">
      <c r="A16" s="59" t="s">
        <v>56</v>
      </c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6"/>
      <c r="AH16" s="122"/>
      <c r="AI16" s="122"/>
      <c r="AJ16" s="122"/>
      <c r="AK16" s="122"/>
      <c r="AL16" s="122"/>
    </row>
    <row r="17" spans="1:38" ht="24" customHeight="1" x14ac:dyDescent="0.2">
      <c r="A17" s="55" t="s">
        <v>57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6"/>
      <c r="AH17" s="122"/>
      <c r="AI17" s="122"/>
      <c r="AJ17" s="122"/>
      <c r="AK17" s="122"/>
      <c r="AL17" s="122"/>
    </row>
    <row r="18" spans="1:38" ht="24" customHeight="1" x14ac:dyDescent="0.2">
      <c r="A18" s="55" t="s">
        <v>59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6"/>
      <c r="AH18" s="122"/>
      <c r="AI18" s="122"/>
      <c r="AJ18" s="122"/>
      <c r="AK18" s="122"/>
      <c r="AL18" s="122"/>
    </row>
    <row r="19" spans="1:38" ht="24" customHeight="1" x14ac:dyDescent="0.2">
      <c r="A19" s="60" t="s">
        <v>61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6"/>
      <c r="AH19" s="122"/>
      <c r="AI19" s="122"/>
      <c r="AJ19" s="122"/>
      <c r="AK19" s="122"/>
      <c r="AL19" s="122"/>
    </row>
    <row r="20" spans="1:38" ht="24" customHeight="1" x14ac:dyDescent="0.2">
      <c r="A20" s="61" t="s">
        <v>60</v>
      </c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6"/>
      <c r="AH20" s="122"/>
      <c r="AI20" s="122"/>
      <c r="AJ20" s="122"/>
      <c r="AK20" s="122"/>
      <c r="AL20" s="122"/>
    </row>
    <row r="21" spans="1:38" ht="24" customHeight="1" x14ac:dyDescent="0.2">
      <c r="A21" s="60" t="s">
        <v>62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6"/>
      <c r="AH21" s="122"/>
      <c r="AI21" s="122"/>
      <c r="AJ21" s="122"/>
      <c r="AK21" s="122"/>
      <c r="AL21" s="122"/>
    </row>
    <row r="22" spans="1:38" ht="24" customHeight="1" x14ac:dyDescent="0.2">
      <c r="A22" s="71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6"/>
      <c r="AH22" s="122"/>
      <c r="AI22" s="122"/>
      <c r="AJ22" s="122"/>
      <c r="AK22" s="122"/>
      <c r="AL22" s="122"/>
    </row>
    <row r="23" spans="1:38" ht="24" customHeight="1" x14ac:dyDescent="0.2">
      <c r="A23" s="7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6"/>
      <c r="AH23" s="122"/>
      <c r="AI23" s="122"/>
      <c r="AJ23" s="122"/>
      <c r="AK23" s="122"/>
      <c r="AL23" s="122"/>
    </row>
    <row r="24" spans="1:38" ht="24" customHeight="1" thickBot="1" x14ac:dyDescent="0.25">
      <c r="A24" s="66" t="s">
        <v>68</v>
      </c>
      <c r="B24" s="45">
        <f>SUM(Column2StartB:ColumnEndB)</f>
        <v>0</v>
      </c>
      <c r="C24" s="45">
        <f>SUM(Column2StartC:ColumnEndC)</f>
        <v>0</v>
      </c>
      <c r="D24" s="45">
        <f>SUM(Column2StartD:ColumnEndD)</f>
        <v>0</v>
      </c>
      <c r="E24" s="45">
        <f>SUM(Column2StartE:ColumnEndE)</f>
        <v>0</v>
      </c>
      <c r="F24" s="45">
        <f>SUM(Column2StartF:ColumnEndF)</f>
        <v>0</v>
      </c>
      <c r="G24" s="45">
        <f>SUM(Column2StartG:ColumnEndG)</f>
        <v>0</v>
      </c>
      <c r="H24" s="45">
        <f>SUM(Column2StartH:ColumnEndH)</f>
        <v>0</v>
      </c>
      <c r="I24" s="45">
        <f>SUM(Column2StartI:ColumnEndI)</f>
        <v>0</v>
      </c>
      <c r="J24" s="45">
        <f>SUM(Column2StartJ:ColumnEndJ)</f>
        <v>0</v>
      </c>
      <c r="K24" s="45">
        <f>SUM(Column2StartK:ColumnEndK)</f>
        <v>0</v>
      </c>
      <c r="L24" s="45">
        <f>SUM(Column2StartL:ColumnEndL)</f>
        <v>0</v>
      </c>
      <c r="M24" s="45">
        <f>SUM(Column2StartM:ColumnEndM)</f>
        <v>0</v>
      </c>
      <c r="N24" s="45">
        <f>SUM(Column2StartN:ColumnEndN)</f>
        <v>0</v>
      </c>
      <c r="O24" s="45">
        <f>SUM(Column2StartO:ColumnEndO)</f>
        <v>0</v>
      </c>
      <c r="P24" s="45">
        <f>SUM(Column2StartP:ColumnEndP)</f>
        <v>0</v>
      </c>
      <c r="Q24" s="45">
        <f>SUM(Column2StartQ:ColumnEndQ)</f>
        <v>0</v>
      </c>
      <c r="R24" s="45">
        <f>SUM(Column2StartR:ColumnEndR)</f>
        <v>0</v>
      </c>
      <c r="S24" s="45">
        <f>SUM(Column2StartS:ColumnEndS)</f>
        <v>0</v>
      </c>
      <c r="T24" s="45">
        <f>SUM(Column2StartT:ColumnEndT)</f>
        <v>0</v>
      </c>
      <c r="U24" s="45">
        <f>SUM(Column2StartU:ColumnEndU)</f>
        <v>0</v>
      </c>
      <c r="V24" s="45">
        <f>SUM(Column2StartV:ColumnEndV)</f>
        <v>0</v>
      </c>
      <c r="W24" s="45">
        <f>SUM(Column2StartW:ColumnEndW)</f>
        <v>0</v>
      </c>
      <c r="X24" s="45">
        <f>SUM(Column2StartX:ColumnEndX)</f>
        <v>0</v>
      </c>
      <c r="Y24" s="45">
        <f>SUM(Column2StartY:ColumnEndY)</f>
        <v>0</v>
      </c>
      <c r="Z24" s="45">
        <f>SUM(Column2StartZ:ColumnEndZ)</f>
        <v>0</v>
      </c>
      <c r="AA24" s="45">
        <f>SUM(Column2StartAA:ColumnEndAA)</f>
        <v>0</v>
      </c>
      <c r="AB24" s="45">
        <f>SUM(Column2StartAB:ColumnEndAB)</f>
        <v>0</v>
      </c>
      <c r="AC24" s="45">
        <f>SUM(Column2StartAC:ColumnEndAC)</f>
        <v>0</v>
      </c>
      <c r="AD24" s="45">
        <f>SUM(Column2StartAD:ColumnEndAD)</f>
        <v>0</v>
      </c>
      <c r="AE24" s="45">
        <f>SUM(Column2StartAE:ColumnEndAE)</f>
        <v>0</v>
      </c>
      <c r="AF24" s="45">
        <f>SUM(Column2StartAF:ColumnEndAF)</f>
        <v>0</v>
      </c>
      <c r="AG24" s="7" t="s">
        <v>15</v>
      </c>
      <c r="AH24" s="122"/>
      <c r="AI24" s="122"/>
      <c r="AJ24" s="122"/>
      <c r="AK24" s="122"/>
      <c r="AL24" s="122"/>
    </row>
    <row r="25" spans="1:38" ht="24" customHeight="1" thickBot="1" x14ac:dyDescent="0.25">
      <c r="A25" s="67" t="s">
        <v>67</v>
      </c>
      <c r="B25" s="37">
        <f t="shared" ref="B25:AF25" si="0">SUM(B24,B16:B17)</f>
        <v>0</v>
      </c>
      <c r="C25" s="37">
        <f t="shared" si="0"/>
        <v>0</v>
      </c>
      <c r="D25" s="37">
        <f t="shared" si="0"/>
        <v>0</v>
      </c>
      <c r="E25" s="37">
        <f t="shared" si="0"/>
        <v>0</v>
      </c>
      <c r="F25" s="37">
        <f t="shared" si="0"/>
        <v>0</v>
      </c>
      <c r="G25" s="37">
        <f t="shared" si="0"/>
        <v>0</v>
      </c>
      <c r="H25" s="37">
        <f t="shared" si="0"/>
        <v>0</v>
      </c>
      <c r="I25" s="37">
        <f t="shared" si="0"/>
        <v>0</v>
      </c>
      <c r="J25" s="37">
        <f t="shared" si="0"/>
        <v>0</v>
      </c>
      <c r="K25" s="37">
        <f t="shared" si="0"/>
        <v>0</v>
      </c>
      <c r="L25" s="37">
        <f t="shared" si="0"/>
        <v>0</v>
      </c>
      <c r="M25" s="37">
        <f t="shared" si="0"/>
        <v>0</v>
      </c>
      <c r="N25" s="37">
        <f t="shared" si="0"/>
        <v>0</v>
      </c>
      <c r="O25" s="37">
        <f t="shared" si="0"/>
        <v>0</v>
      </c>
      <c r="P25" s="37">
        <f t="shared" si="0"/>
        <v>0</v>
      </c>
      <c r="Q25" s="37">
        <f t="shared" si="0"/>
        <v>0</v>
      </c>
      <c r="R25" s="37">
        <f t="shared" si="0"/>
        <v>0</v>
      </c>
      <c r="S25" s="37">
        <f t="shared" si="0"/>
        <v>0</v>
      </c>
      <c r="T25" s="37">
        <f t="shared" si="0"/>
        <v>0</v>
      </c>
      <c r="U25" s="37">
        <f t="shared" si="0"/>
        <v>0</v>
      </c>
      <c r="V25" s="37">
        <f t="shared" si="0"/>
        <v>0</v>
      </c>
      <c r="W25" s="37">
        <f t="shared" si="0"/>
        <v>0</v>
      </c>
      <c r="X25" s="37">
        <f t="shared" si="0"/>
        <v>0</v>
      </c>
      <c r="Y25" s="37">
        <f t="shared" si="0"/>
        <v>0</v>
      </c>
      <c r="Z25" s="37">
        <f t="shared" si="0"/>
        <v>0</v>
      </c>
      <c r="AA25" s="37">
        <f t="shared" si="0"/>
        <v>0</v>
      </c>
      <c r="AB25" s="37">
        <f t="shared" si="0"/>
        <v>0</v>
      </c>
      <c r="AC25" s="37">
        <f t="shared" si="0"/>
        <v>0</v>
      </c>
      <c r="AD25" s="37">
        <f t="shared" si="0"/>
        <v>0</v>
      </c>
      <c r="AE25" s="37">
        <f t="shared" si="0"/>
        <v>0</v>
      </c>
      <c r="AF25" s="37">
        <f t="shared" si="0"/>
        <v>0</v>
      </c>
      <c r="AG25" s="68">
        <f>SUM(B25:AF25)</f>
        <v>0</v>
      </c>
      <c r="AH25" s="122"/>
      <c r="AI25" s="122"/>
      <c r="AJ25" s="122"/>
      <c r="AK25" s="122"/>
      <c r="AL25" s="122"/>
    </row>
    <row r="26" spans="1:38" ht="24" customHeight="1" x14ac:dyDescent="0.2">
      <c r="A26" s="107" t="s">
        <v>16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3"/>
      <c r="AG26" s="69"/>
      <c r="AH26" s="122"/>
      <c r="AI26" s="122"/>
      <c r="AJ26" s="122"/>
      <c r="AK26" s="122"/>
      <c r="AL26" s="122"/>
    </row>
    <row r="27" spans="1:38" ht="24" customHeight="1" x14ac:dyDescent="0.2">
      <c r="A27" s="108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56"/>
      <c r="AC27" s="56"/>
      <c r="AD27" s="37"/>
      <c r="AE27" s="37"/>
      <c r="AF27" s="57"/>
      <c r="AG27" s="43"/>
      <c r="AH27" s="122"/>
      <c r="AI27" s="122"/>
      <c r="AJ27" s="122"/>
      <c r="AK27" s="122"/>
      <c r="AL27" s="122"/>
    </row>
    <row r="28" spans="1:38" ht="24" customHeight="1" thickBot="1" x14ac:dyDescent="0.25">
      <c r="A28" s="109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6"/>
      <c r="AC28" s="46"/>
      <c r="AD28" s="45"/>
      <c r="AE28" s="45"/>
      <c r="AF28" s="47"/>
      <c r="AG28" s="70"/>
      <c r="AH28" s="122"/>
      <c r="AI28" s="122"/>
      <c r="AJ28" s="122"/>
      <c r="AK28" s="122"/>
      <c r="AL28" s="122"/>
    </row>
    <row r="29" spans="1:38" ht="24" customHeight="1" thickBot="1" x14ac:dyDescent="0.25">
      <c r="B29" s="8" t="s">
        <v>49</v>
      </c>
      <c r="G29" s="9" t="s">
        <v>17</v>
      </c>
      <c r="H29" s="9"/>
      <c r="I29" s="9"/>
      <c r="J29" s="9"/>
      <c r="K29" s="9" t="s">
        <v>18</v>
      </c>
      <c r="L29" s="9"/>
      <c r="M29" s="9"/>
      <c r="N29" s="9"/>
      <c r="O29" s="9" t="s">
        <v>19</v>
      </c>
      <c r="P29" s="9"/>
      <c r="Q29" s="9"/>
      <c r="R29" s="9"/>
      <c r="S29" s="9" t="s">
        <v>20</v>
      </c>
      <c r="T29" s="9"/>
      <c r="U29" s="10"/>
      <c r="V29" s="116" t="s">
        <v>63</v>
      </c>
      <c r="W29" s="117"/>
      <c r="X29" s="117"/>
      <c r="Y29" s="117"/>
      <c r="Z29" s="117"/>
      <c r="AA29" s="117"/>
      <c r="AB29" s="114"/>
      <c r="AC29" s="115"/>
      <c r="AD29" s="110" t="s">
        <v>39</v>
      </c>
      <c r="AE29" s="111"/>
      <c r="AF29" s="112"/>
      <c r="AG29" s="39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29" s="122"/>
      <c r="AI29" s="122"/>
      <c r="AJ29" s="122"/>
      <c r="AK29" s="122"/>
      <c r="AL29" s="122"/>
    </row>
    <row r="30" spans="1:38" ht="24" customHeight="1" x14ac:dyDescent="0.25">
      <c r="A30" s="113"/>
      <c r="B30" s="118" t="s">
        <v>21</v>
      </c>
      <c r="C30" s="119"/>
      <c r="D30" s="119"/>
      <c r="E30" s="119"/>
      <c r="F30" s="119"/>
      <c r="G30" s="119"/>
      <c r="H30" s="119"/>
      <c r="I30" s="119"/>
      <c r="J30" s="119"/>
      <c r="K30" s="119"/>
      <c r="L30" s="120" t="s">
        <v>16</v>
      </c>
      <c r="M30" s="121"/>
      <c r="N30" s="120" t="s">
        <v>22</v>
      </c>
      <c r="O30" s="119"/>
      <c r="P30" s="119"/>
      <c r="Q30" s="121"/>
      <c r="R30" s="120" t="s">
        <v>21</v>
      </c>
      <c r="S30" s="119"/>
      <c r="T30" s="119"/>
      <c r="U30" s="119"/>
      <c r="V30" s="119"/>
      <c r="W30" s="119"/>
      <c r="X30" s="119"/>
      <c r="Y30" s="119"/>
      <c r="Z30" s="119"/>
      <c r="AA30" s="121"/>
      <c r="AB30" s="73" t="s">
        <v>16</v>
      </c>
      <c r="AC30" s="74"/>
      <c r="AD30" s="120" t="s">
        <v>22</v>
      </c>
      <c r="AE30" s="119"/>
      <c r="AF30" s="119"/>
      <c r="AG30" s="160"/>
      <c r="AH30" s="122"/>
      <c r="AI30" s="122"/>
      <c r="AJ30" s="122"/>
      <c r="AK30" s="122"/>
      <c r="AL30" s="122"/>
    </row>
    <row r="31" spans="1:38" ht="20.25" customHeight="1" x14ac:dyDescent="0.2">
      <c r="A31" s="113"/>
      <c r="B31" s="104"/>
      <c r="C31" s="90"/>
      <c r="D31" s="90"/>
      <c r="E31" s="90"/>
      <c r="F31" s="90"/>
      <c r="G31" s="90"/>
      <c r="H31" s="90"/>
      <c r="I31" s="90"/>
      <c r="J31" s="90"/>
      <c r="K31" s="91"/>
      <c r="L31" s="89"/>
      <c r="M31" s="91"/>
      <c r="N31" s="89"/>
      <c r="O31" s="90"/>
      <c r="P31" s="90"/>
      <c r="Q31" s="91"/>
      <c r="R31" s="89"/>
      <c r="S31" s="90"/>
      <c r="T31" s="90"/>
      <c r="U31" s="90"/>
      <c r="V31" s="90"/>
      <c r="W31" s="90"/>
      <c r="X31" s="90"/>
      <c r="Y31" s="90"/>
      <c r="Z31" s="90"/>
      <c r="AA31" s="91"/>
      <c r="AB31" s="89"/>
      <c r="AC31" s="91"/>
      <c r="AD31" s="89"/>
      <c r="AE31" s="90"/>
      <c r="AF31" s="90"/>
      <c r="AG31" s="102"/>
      <c r="AH31" s="122"/>
      <c r="AI31" s="122"/>
      <c r="AJ31" s="122"/>
      <c r="AK31" s="122"/>
      <c r="AL31" s="122"/>
    </row>
    <row r="32" spans="1:38" ht="20.25" customHeight="1" x14ac:dyDescent="0.2">
      <c r="A32" s="113"/>
      <c r="B32" s="97"/>
      <c r="C32" s="93"/>
      <c r="D32" s="93"/>
      <c r="E32" s="93"/>
      <c r="F32" s="93"/>
      <c r="G32" s="93"/>
      <c r="H32" s="93"/>
      <c r="I32" s="93"/>
      <c r="J32" s="93"/>
      <c r="K32" s="94"/>
      <c r="L32" s="92"/>
      <c r="M32" s="94"/>
      <c r="N32" s="92"/>
      <c r="O32" s="93"/>
      <c r="P32" s="93"/>
      <c r="Q32" s="94"/>
      <c r="R32" s="92"/>
      <c r="S32" s="93"/>
      <c r="T32" s="93"/>
      <c r="U32" s="93"/>
      <c r="V32" s="93"/>
      <c r="W32" s="93"/>
      <c r="X32" s="93"/>
      <c r="Y32" s="93"/>
      <c r="Z32" s="93"/>
      <c r="AA32" s="94"/>
      <c r="AB32" s="92"/>
      <c r="AC32" s="94"/>
      <c r="AD32" s="92"/>
      <c r="AE32" s="93"/>
      <c r="AF32" s="93"/>
      <c r="AG32" s="103"/>
      <c r="AH32" s="122"/>
      <c r="AI32" s="122"/>
      <c r="AJ32" s="122"/>
      <c r="AK32" s="122"/>
      <c r="AL32" s="122"/>
    </row>
    <row r="33" spans="1:38" ht="20.25" customHeight="1" x14ac:dyDescent="0.2">
      <c r="A33" s="113"/>
      <c r="B33" s="98"/>
      <c r="C33" s="99"/>
      <c r="D33" s="99"/>
      <c r="E33" s="99"/>
      <c r="F33" s="99"/>
      <c r="G33" s="99"/>
      <c r="H33" s="99"/>
      <c r="I33" s="99"/>
      <c r="J33" s="99"/>
      <c r="K33" s="96"/>
      <c r="L33" s="95"/>
      <c r="M33" s="96"/>
      <c r="N33" s="95"/>
      <c r="O33" s="99"/>
      <c r="P33" s="99"/>
      <c r="Q33" s="96"/>
      <c r="R33" s="95"/>
      <c r="S33" s="99"/>
      <c r="T33" s="99"/>
      <c r="U33" s="99"/>
      <c r="V33" s="99"/>
      <c r="W33" s="99"/>
      <c r="X33" s="99"/>
      <c r="Y33" s="99"/>
      <c r="Z33" s="99"/>
      <c r="AA33" s="96"/>
      <c r="AB33" s="95"/>
      <c r="AC33" s="96"/>
      <c r="AD33" s="95"/>
      <c r="AE33" s="99"/>
      <c r="AF33" s="99"/>
      <c r="AG33" s="101"/>
      <c r="AH33" s="122"/>
      <c r="AI33" s="122"/>
      <c r="AJ33" s="122"/>
      <c r="AK33" s="122"/>
      <c r="AL33" s="122"/>
    </row>
    <row r="34" spans="1:38" ht="20.25" customHeight="1" x14ac:dyDescent="0.2">
      <c r="B34" s="97"/>
      <c r="C34" s="93"/>
      <c r="D34" s="93"/>
      <c r="E34" s="93"/>
      <c r="F34" s="93"/>
      <c r="G34" s="93"/>
      <c r="H34" s="93"/>
      <c r="I34" s="93"/>
      <c r="J34" s="93"/>
      <c r="K34" s="94"/>
      <c r="L34" s="92"/>
      <c r="M34" s="94"/>
      <c r="N34" s="92"/>
      <c r="O34" s="93"/>
      <c r="P34" s="93"/>
      <c r="Q34" s="94"/>
      <c r="R34" s="92"/>
      <c r="S34" s="93"/>
      <c r="T34" s="93"/>
      <c r="U34" s="93"/>
      <c r="V34" s="93"/>
      <c r="W34" s="93"/>
      <c r="X34" s="93"/>
      <c r="Y34" s="93"/>
      <c r="Z34" s="93"/>
      <c r="AA34" s="94"/>
      <c r="AB34" s="92"/>
      <c r="AC34" s="94"/>
      <c r="AD34" s="92"/>
      <c r="AE34" s="93"/>
      <c r="AF34" s="93"/>
      <c r="AG34" s="103"/>
      <c r="AH34" s="122"/>
      <c r="AI34" s="122"/>
      <c r="AJ34" s="122"/>
      <c r="AK34" s="122"/>
      <c r="AL34" s="122"/>
    </row>
    <row r="35" spans="1:38" ht="20.25" customHeight="1" x14ac:dyDescent="0.2">
      <c r="B35" s="104"/>
      <c r="C35" s="90"/>
      <c r="D35" s="90"/>
      <c r="E35" s="90"/>
      <c r="F35" s="90"/>
      <c r="G35" s="90"/>
      <c r="H35" s="90"/>
      <c r="I35" s="90"/>
      <c r="J35" s="90"/>
      <c r="K35" s="91"/>
      <c r="L35" s="89"/>
      <c r="M35" s="91"/>
      <c r="N35" s="89"/>
      <c r="O35" s="90"/>
      <c r="P35" s="90"/>
      <c r="Q35" s="91"/>
      <c r="R35" s="89"/>
      <c r="S35" s="90"/>
      <c r="T35" s="90"/>
      <c r="U35" s="90"/>
      <c r="V35" s="90"/>
      <c r="W35" s="90"/>
      <c r="X35" s="90"/>
      <c r="Y35" s="90"/>
      <c r="Z35" s="90"/>
      <c r="AA35" s="91"/>
      <c r="AB35" s="89"/>
      <c r="AC35" s="91"/>
      <c r="AD35" s="89"/>
      <c r="AE35" s="90"/>
      <c r="AF35" s="90"/>
      <c r="AG35" s="102"/>
      <c r="AH35" s="122"/>
      <c r="AI35" s="122"/>
      <c r="AJ35" s="122"/>
      <c r="AK35" s="122"/>
      <c r="AL35" s="122"/>
    </row>
    <row r="36" spans="1:38" ht="20.25" customHeight="1" x14ac:dyDescent="0.2">
      <c r="B36" s="97"/>
      <c r="C36" s="93"/>
      <c r="D36" s="93"/>
      <c r="E36" s="93"/>
      <c r="F36" s="93"/>
      <c r="G36" s="93"/>
      <c r="H36" s="93"/>
      <c r="I36" s="93"/>
      <c r="J36" s="93"/>
      <c r="K36" s="94"/>
      <c r="L36" s="92"/>
      <c r="M36" s="94"/>
      <c r="N36" s="92"/>
      <c r="O36" s="93"/>
      <c r="P36" s="93"/>
      <c r="Q36" s="94"/>
      <c r="R36" s="92"/>
      <c r="S36" s="93"/>
      <c r="T36" s="93"/>
      <c r="U36" s="93"/>
      <c r="V36" s="93"/>
      <c r="W36" s="93"/>
      <c r="X36" s="93"/>
      <c r="Y36" s="93"/>
      <c r="Z36" s="93"/>
      <c r="AA36" s="94"/>
      <c r="AB36" s="92"/>
      <c r="AC36" s="94"/>
      <c r="AD36" s="92"/>
      <c r="AE36" s="93"/>
      <c r="AF36" s="93"/>
      <c r="AG36" s="103"/>
      <c r="AH36" s="122"/>
      <c r="AI36" s="122"/>
      <c r="AJ36" s="122"/>
      <c r="AK36" s="122"/>
      <c r="AL36" s="122"/>
    </row>
    <row r="37" spans="1:38" ht="20.25" customHeight="1" x14ac:dyDescent="0.2">
      <c r="B37" s="98"/>
      <c r="C37" s="99"/>
      <c r="D37" s="99"/>
      <c r="E37" s="99"/>
      <c r="F37" s="99"/>
      <c r="G37" s="99"/>
      <c r="H37" s="99"/>
      <c r="I37" s="99"/>
      <c r="J37" s="99"/>
      <c r="K37" s="96"/>
      <c r="L37" s="95"/>
      <c r="M37" s="96"/>
      <c r="N37" s="95"/>
      <c r="O37" s="99"/>
      <c r="P37" s="99"/>
      <c r="Q37" s="96"/>
      <c r="R37" s="95"/>
      <c r="S37" s="99"/>
      <c r="T37" s="99"/>
      <c r="U37" s="99"/>
      <c r="V37" s="99"/>
      <c r="W37" s="99"/>
      <c r="X37" s="99"/>
      <c r="Y37" s="99"/>
      <c r="Z37" s="99"/>
      <c r="AA37" s="96"/>
      <c r="AB37" s="95"/>
      <c r="AC37" s="96"/>
      <c r="AD37" s="95"/>
      <c r="AE37" s="99"/>
      <c r="AF37" s="99"/>
      <c r="AG37" s="101"/>
      <c r="AH37" s="122"/>
      <c r="AI37" s="122"/>
      <c r="AJ37" s="122"/>
      <c r="AK37" s="122"/>
      <c r="AL37" s="122"/>
    </row>
    <row r="38" spans="1:38" ht="20.25" customHeight="1" thickBot="1" x14ac:dyDescent="0.25">
      <c r="B38" s="88"/>
      <c r="C38" s="86"/>
      <c r="D38" s="86"/>
      <c r="E38" s="86"/>
      <c r="F38" s="86"/>
      <c r="G38" s="86"/>
      <c r="H38" s="86"/>
      <c r="I38" s="86"/>
      <c r="J38" s="86"/>
      <c r="K38" s="87"/>
      <c r="L38" s="85"/>
      <c r="M38" s="87"/>
      <c r="N38" s="85"/>
      <c r="O38" s="86"/>
      <c r="P38" s="86"/>
      <c r="Q38" s="87"/>
      <c r="R38" s="85"/>
      <c r="S38" s="86"/>
      <c r="T38" s="86"/>
      <c r="U38" s="86"/>
      <c r="V38" s="86"/>
      <c r="W38" s="86"/>
      <c r="X38" s="86"/>
      <c r="Y38" s="86"/>
      <c r="Z38" s="86"/>
      <c r="AA38" s="87"/>
      <c r="AB38" s="85"/>
      <c r="AC38" s="87"/>
      <c r="AD38" s="85"/>
      <c r="AE38" s="86"/>
      <c r="AF38" s="86"/>
      <c r="AG38" s="100"/>
      <c r="AH38" s="122"/>
      <c r="AI38" s="122"/>
      <c r="AJ38" s="122"/>
      <c r="AK38" s="122"/>
      <c r="AL38" s="122"/>
    </row>
    <row r="39" spans="1:38" ht="18" customHeight="1" x14ac:dyDescent="0.2">
      <c r="AH39" s="122"/>
      <c r="AI39" s="122"/>
      <c r="AJ39" s="122"/>
      <c r="AK39" s="122"/>
      <c r="AL39" s="122"/>
    </row>
    <row r="40" spans="1:38" ht="15.75" customHeight="1" x14ac:dyDescent="0.2">
      <c r="AH40" s="122"/>
      <c r="AI40" s="122"/>
      <c r="AJ40" s="122"/>
      <c r="AK40" s="122"/>
      <c r="AL40" s="122"/>
    </row>
    <row r="41" spans="1:38" hidden="1" x14ac:dyDescent="0.2">
      <c r="A41" s="11">
        <v>0</v>
      </c>
      <c r="B41" s="11">
        <v>1</v>
      </c>
      <c r="C41" s="11">
        <v>2</v>
      </c>
      <c r="D41" s="11">
        <v>3</v>
      </c>
      <c r="E41" s="11">
        <v>4</v>
      </c>
      <c r="F41" s="11">
        <v>5</v>
      </c>
      <c r="G41" s="11">
        <v>6</v>
      </c>
      <c r="H41" s="11">
        <v>7</v>
      </c>
      <c r="I41" s="11">
        <v>8</v>
      </c>
      <c r="J41" s="11">
        <v>9</v>
      </c>
      <c r="K41" s="11">
        <v>10</v>
      </c>
      <c r="L41" s="11">
        <v>11</v>
      </c>
      <c r="M41" s="11">
        <v>12</v>
      </c>
      <c r="N41" s="11">
        <v>13</v>
      </c>
      <c r="O41" s="11">
        <v>14</v>
      </c>
      <c r="P41" s="11">
        <v>15</v>
      </c>
      <c r="Q41" s="11">
        <v>16</v>
      </c>
      <c r="R41" s="11">
        <v>17</v>
      </c>
      <c r="S41" s="11">
        <v>18</v>
      </c>
      <c r="T41" s="11">
        <v>19</v>
      </c>
      <c r="U41" s="11">
        <v>20</v>
      </c>
      <c r="V41" s="11">
        <v>21</v>
      </c>
      <c r="W41" s="11">
        <v>22</v>
      </c>
      <c r="X41" s="11">
        <v>23</v>
      </c>
      <c r="Y41" s="11">
        <v>24</v>
      </c>
      <c r="Z41" s="11">
        <v>25</v>
      </c>
      <c r="AA41" s="11">
        <v>26</v>
      </c>
      <c r="AB41" s="11">
        <v>27</v>
      </c>
      <c r="AC41" s="11">
        <v>28</v>
      </c>
      <c r="AD41" s="11">
        <v>29</v>
      </c>
      <c r="AE41" s="11">
        <v>30</v>
      </c>
      <c r="AF41" s="11">
        <v>31</v>
      </c>
    </row>
    <row r="42" spans="1:38" ht="12.75" hidden="1" customHeight="1" x14ac:dyDescent="0.2">
      <c r="A42" s="11">
        <v>1</v>
      </c>
    </row>
    <row r="43" spans="1:38" hidden="1" x14ac:dyDescent="0.2">
      <c r="A43" s="11">
        <v>2</v>
      </c>
    </row>
    <row r="44" spans="1:38" ht="13.5" hidden="1" thickBot="1" x14ac:dyDescent="0.25">
      <c r="A44" s="11">
        <v>3</v>
      </c>
    </row>
    <row r="45" spans="1:38" ht="13.5" hidden="1" thickBot="1" x14ac:dyDescent="0.25">
      <c r="A45" s="11">
        <v>4</v>
      </c>
      <c r="C45" s="12" t="s">
        <v>70</v>
      </c>
      <c r="I45" s="75">
        <f>CurrentMonthVisits</f>
        <v>0</v>
      </c>
    </row>
    <row r="46" spans="1:38" ht="13.5" hidden="1" thickBot="1" x14ac:dyDescent="0.25">
      <c r="A46" s="11">
        <v>5</v>
      </c>
      <c r="B46" s="12" t="s">
        <v>71</v>
      </c>
      <c r="I46" s="75">
        <f>COUNTIF(B42:AF42, "&gt;=2")</f>
        <v>0</v>
      </c>
    </row>
    <row r="47" spans="1:38" hidden="1" x14ac:dyDescent="0.2">
      <c r="A47" s="11">
        <v>6</v>
      </c>
    </row>
    <row r="48" spans="1:38" hidden="1" x14ac:dyDescent="0.2">
      <c r="A48" s="11">
        <v>7</v>
      </c>
    </row>
    <row r="49" spans="1:1" hidden="1" x14ac:dyDescent="0.2">
      <c r="A49" s="11">
        <v>8</v>
      </c>
    </row>
    <row r="50" spans="1:1" hidden="1" x14ac:dyDescent="0.2">
      <c r="A50" s="11">
        <v>9</v>
      </c>
    </row>
    <row r="51" spans="1:1" hidden="1" x14ac:dyDescent="0.2">
      <c r="A51" s="11">
        <v>10</v>
      </c>
    </row>
    <row r="52" spans="1:1" hidden="1" x14ac:dyDescent="0.2">
      <c r="A52" s="11">
        <v>11</v>
      </c>
    </row>
    <row r="53" spans="1:1" hidden="1" x14ac:dyDescent="0.2">
      <c r="A53" s="11">
        <v>12</v>
      </c>
    </row>
    <row r="54" spans="1:1" hidden="1" x14ac:dyDescent="0.2">
      <c r="A54" s="11">
        <v>13</v>
      </c>
    </row>
    <row r="55" spans="1:1" hidden="1" x14ac:dyDescent="0.2">
      <c r="A55" s="11">
        <v>14</v>
      </c>
    </row>
    <row r="56" spans="1:1" hidden="1" x14ac:dyDescent="0.2">
      <c r="A56" s="11">
        <v>15</v>
      </c>
    </row>
    <row r="57" spans="1:1" hidden="1" x14ac:dyDescent="0.2">
      <c r="A57" s="11">
        <v>16</v>
      </c>
    </row>
    <row r="58" spans="1:1" hidden="1" x14ac:dyDescent="0.2">
      <c r="A58" s="11">
        <v>17</v>
      </c>
    </row>
    <row r="59" spans="1:1" hidden="1" x14ac:dyDescent="0.2">
      <c r="A59" s="11">
        <v>18</v>
      </c>
    </row>
    <row r="60" spans="1:1" hidden="1" x14ac:dyDescent="0.2">
      <c r="A60" s="11">
        <v>19</v>
      </c>
    </row>
    <row r="61" spans="1:1" hidden="1" x14ac:dyDescent="0.2">
      <c r="A61" s="11">
        <v>20</v>
      </c>
    </row>
    <row r="62" spans="1:1" hidden="1" x14ac:dyDescent="0.2">
      <c r="A62" s="11">
        <v>21</v>
      </c>
    </row>
    <row r="63" spans="1:1" hidden="1" x14ac:dyDescent="0.2">
      <c r="A63" s="11">
        <v>22</v>
      </c>
    </row>
    <row r="64" spans="1:1" hidden="1" x14ac:dyDescent="0.2">
      <c r="A64" s="11">
        <v>23</v>
      </c>
    </row>
    <row r="65" spans="1:1" hidden="1" x14ac:dyDescent="0.2">
      <c r="A65" s="11">
        <v>24</v>
      </c>
    </row>
    <row r="66" spans="1:1" hidden="1" x14ac:dyDescent="0.2">
      <c r="A66" s="11">
        <v>25</v>
      </c>
    </row>
    <row r="67" spans="1:1" hidden="1" x14ac:dyDescent="0.2">
      <c r="A67" s="11">
        <v>26</v>
      </c>
    </row>
    <row r="68" spans="1:1" hidden="1" x14ac:dyDescent="0.2">
      <c r="A68" s="11">
        <v>27</v>
      </c>
    </row>
    <row r="69" spans="1:1" hidden="1" x14ac:dyDescent="0.2">
      <c r="A69" s="11">
        <v>28</v>
      </c>
    </row>
    <row r="70" spans="1:1" hidden="1" x14ac:dyDescent="0.2">
      <c r="A70" s="11">
        <v>29</v>
      </c>
    </row>
    <row r="71" spans="1:1" hidden="1" x14ac:dyDescent="0.2">
      <c r="A71" s="11">
        <v>30</v>
      </c>
    </row>
    <row r="72" spans="1:1" hidden="1" x14ac:dyDescent="0.2">
      <c r="A72" s="11">
        <v>31</v>
      </c>
    </row>
    <row r="73" spans="1:1" hidden="1" x14ac:dyDescent="0.2">
      <c r="A73" s="72"/>
    </row>
    <row r="74" spans="1:1" hidden="1" x14ac:dyDescent="0.2">
      <c r="A74" s="11">
        <f>COUNTIF(Initials1:Initials8, Initials1) + COUNTIF(Initials9:Initials16, Initials1)</f>
        <v>0</v>
      </c>
    </row>
    <row r="75" spans="1:1" hidden="1" x14ac:dyDescent="0.2">
      <c r="A75" s="11">
        <f>COUNTIF(Initials1:Initials8, Initials2) + COUNTIF(Initials9:Initials16, Initials2)</f>
        <v>0</v>
      </c>
    </row>
    <row r="76" spans="1:1" hidden="1" x14ac:dyDescent="0.2">
      <c r="A76" s="11">
        <f>COUNTIF(Initials1:Initials8, Initials3) + COUNTIF(Initials9:Initials16, Initials3)</f>
        <v>0</v>
      </c>
    </row>
    <row r="77" spans="1:1" hidden="1" x14ac:dyDescent="0.2">
      <c r="A77" s="11">
        <f xml:space="preserve"> COUNTIF(Initials1:Initials8, Initials4) + COUNTIF(Initials9:Initials16, Initials4)</f>
        <v>0</v>
      </c>
    </row>
    <row r="78" spans="1:1" hidden="1" x14ac:dyDescent="0.2">
      <c r="A78" s="11">
        <f xml:space="preserve"> COUNTIF(Initials1:Initials8, Initials5) + COUNTIF(Initials9:Initials16, Initials5)</f>
        <v>0</v>
      </c>
    </row>
    <row r="79" spans="1:1" hidden="1" x14ac:dyDescent="0.2">
      <c r="A79" s="11">
        <f>COUNTIF(Initials1:Initials8, Initials6) + COUNTIF(Initials9:Initials16, Initials6)</f>
        <v>0</v>
      </c>
    </row>
    <row r="80" spans="1:1" hidden="1" x14ac:dyDescent="0.2">
      <c r="A80" s="11">
        <f xml:space="preserve"> COUNTIF(Initials1:Initials8, Initials7) + COUNTIF(Initials9:Initials16, Initials7)</f>
        <v>0</v>
      </c>
    </row>
    <row r="81" spans="1:1" hidden="1" x14ac:dyDescent="0.2">
      <c r="A81" s="11">
        <f xml:space="preserve"> COUNTIF(Initials1:Initials8, Initials8) + COUNTIF(Initials9:Initials16, Initials8)</f>
        <v>0</v>
      </c>
    </row>
    <row r="82" spans="1:1" hidden="1" x14ac:dyDescent="0.2">
      <c r="A82" s="11">
        <f xml:space="preserve"> COUNTIF(Initials1:Initials8, Initials9) + COUNTIF(Initials9:Initials16, Initials9)</f>
        <v>0</v>
      </c>
    </row>
    <row r="83" spans="1:1" hidden="1" x14ac:dyDescent="0.2">
      <c r="A83" s="11">
        <f xml:space="preserve"> COUNTIF(Initials1:Initials8, Initials10) + COUNTIF(Initials9:Initials16, Initials10)</f>
        <v>0</v>
      </c>
    </row>
    <row r="84" spans="1:1" hidden="1" x14ac:dyDescent="0.2">
      <c r="A84" s="11">
        <f xml:space="preserve"> COUNTIF(Initials1:Initials8, Initials11) + COUNTIF(Initials9:Initials16, Initials11)</f>
        <v>0</v>
      </c>
    </row>
    <row r="85" spans="1:1" hidden="1" x14ac:dyDescent="0.2">
      <c r="A85" s="11">
        <f xml:space="preserve"> COUNTIF(Initials1:Initials8, Initials12) + COUNTIF(Initials9:Initials16, Initials12)</f>
        <v>0</v>
      </c>
    </row>
    <row r="86" spans="1:1" hidden="1" x14ac:dyDescent="0.2">
      <c r="A86" s="11">
        <f xml:space="preserve"> COUNTIF(Initials1:Initials8, Initials13) + COUNTIF(Initials9:Initials16, Initials13)</f>
        <v>0</v>
      </c>
    </row>
    <row r="87" spans="1:1" hidden="1" x14ac:dyDescent="0.2">
      <c r="A87" s="11">
        <f xml:space="preserve"> COUNTIF(Initials1:Initials8, Initials14) + COUNTIF(Initials9:Initials16, Initials14)</f>
        <v>0</v>
      </c>
    </row>
    <row r="88" spans="1:1" hidden="1" x14ac:dyDescent="0.2">
      <c r="A88" s="11">
        <f xml:space="preserve"> COUNTIF(Initials1:Initials8, Initials15) + COUNTIF(Initials9:Initials16, Initials15)</f>
        <v>0</v>
      </c>
    </row>
    <row r="89" spans="1:1" hidden="1" x14ac:dyDescent="0.2">
      <c r="A89" s="11">
        <f xml:space="preserve"> COUNTIF(Initials1:Initials8, Initials16) + COUNTIF(Initials9:Initials16, Initials16)</f>
        <v>0</v>
      </c>
    </row>
  </sheetData>
  <sheetProtection password="A2E9" sheet="1" objects="1" scenarios="1" formatCells="0" selectLockedCells="1"/>
  <mergeCells count="86">
    <mergeCell ref="AB31:AC31"/>
    <mergeCell ref="AB32:AC32"/>
    <mergeCell ref="AB33:AC33"/>
    <mergeCell ref="AB34:AC34"/>
    <mergeCell ref="AB35:AC35"/>
    <mergeCell ref="AD30:AG30"/>
    <mergeCell ref="AD31:AG31"/>
    <mergeCell ref="AD32:AG32"/>
    <mergeCell ref="AD33:AG33"/>
    <mergeCell ref="AD34:AG34"/>
    <mergeCell ref="AH8:AL40"/>
    <mergeCell ref="B3:G3"/>
    <mergeCell ref="U1:AG1"/>
    <mergeCell ref="P2:R2"/>
    <mergeCell ref="S2:T2"/>
    <mergeCell ref="U2:V2"/>
    <mergeCell ref="W2:AG2"/>
    <mergeCell ref="H2:O2"/>
    <mergeCell ref="X3:AG3"/>
    <mergeCell ref="H3:N3"/>
    <mergeCell ref="W6:AA6"/>
    <mergeCell ref="AB6:AG6"/>
    <mergeCell ref="N6:P6"/>
    <mergeCell ref="E6:G6"/>
    <mergeCell ref="AH1:AL3"/>
    <mergeCell ref="R33:AA33"/>
    <mergeCell ref="AH4:AL7"/>
    <mergeCell ref="V3:W3"/>
    <mergeCell ref="O3:U3"/>
    <mergeCell ref="B6:D6"/>
    <mergeCell ref="H6:M6"/>
    <mergeCell ref="Q6:V6"/>
    <mergeCell ref="V5:W5"/>
    <mergeCell ref="X5:AG5"/>
    <mergeCell ref="B5:U5"/>
    <mergeCell ref="B4:AG4"/>
    <mergeCell ref="A4:A5"/>
    <mergeCell ref="A26:A28"/>
    <mergeCell ref="L34:M34"/>
    <mergeCell ref="B34:K34"/>
    <mergeCell ref="AD29:AF29"/>
    <mergeCell ref="A30:A33"/>
    <mergeCell ref="AB29:AC29"/>
    <mergeCell ref="N31:Q31"/>
    <mergeCell ref="N32:Q32"/>
    <mergeCell ref="N33:Q33"/>
    <mergeCell ref="V29:AA29"/>
    <mergeCell ref="B30:K30"/>
    <mergeCell ref="N30:Q30"/>
    <mergeCell ref="L30:M30"/>
    <mergeCell ref="R30:AA30"/>
    <mergeCell ref="B31:K31"/>
    <mergeCell ref="AD35:AG35"/>
    <mergeCell ref="N36:Q36"/>
    <mergeCell ref="B36:K36"/>
    <mergeCell ref="R36:AA36"/>
    <mergeCell ref="AD36:AG36"/>
    <mergeCell ref="AB36:AC36"/>
    <mergeCell ref="L35:M35"/>
    <mergeCell ref="L36:M36"/>
    <mergeCell ref="B35:K35"/>
    <mergeCell ref="R35:AA35"/>
    <mergeCell ref="AD38:AG38"/>
    <mergeCell ref="AB38:AC38"/>
    <mergeCell ref="L38:M38"/>
    <mergeCell ref="N37:Q37"/>
    <mergeCell ref="B37:K37"/>
    <mergeCell ref="R37:AA37"/>
    <mergeCell ref="AD37:AG37"/>
    <mergeCell ref="AB37:AC37"/>
    <mergeCell ref="L37:M37"/>
    <mergeCell ref="I1:T1"/>
    <mergeCell ref="B1:H1"/>
    <mergeCell ref="N38:Q38"/>
    <mergeCell ref="B38:K38"/>
    <mergeCell ref="R38:AA38"/>
    <mergeCell ref="N35:Q35"/>
    <mergeCell ref="N34:Q34"/>
    <mergeCell ref="L31:M31"/>
    <mergeCell ref="L32:M32"/>
    <mergeCell ref="L33:M33"/>
    <mergeCell ref="B32:K32"/>
    <mergeCell ref="B33:K33"/>
    <mergeCell ref="R31:AA31"/>
    <mergeCell ref="R32:AA32"/>
    <mergeCell ref="R34:AA34"/>
  </mergeCells>
  <conditionalFormatting sqref="B24:AF25">
    <cfRule type="cellIs" dxfId="4" priority="1" operator="equal">
      <formula>"R"</formula>
    </cfRule>
    <cfRule type="cellIs" dxfId="3" priority="2" operator="equal">
      <formula>"D"</formula>
    </cfRule>
    <cfRule type="cellIs" dxfId="2" priority="3" operator="equal">
      <formula>"C"</formula>
    </cfRule>
    <cfRule type="cellIs" dxfId="1" priority="4" operator="equal">
      <formula>"B"</formula>
    </cfRule>
    <cfRule type="cellIs" dxfId="0" priority="5" operator="equal">
      <formula>"A"</formula>
    </cfRule>
  </conditionalFormatting>
  <dataValidations count="1">
    <dataValidation type="whole" allowBlank="1" showInputMessage="1" showErrorMessage="1" sqref="B18:AF23">
      <formula1>0</formula1>
      <formula2>10000000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35" max="32" man="1"/>
  </rowBreaks>
  <drawing r:id="rId2"/>
  <legacyDrawing r:id="rId3"/>
  <controls>
    <mc:AlternateContent xmlns:mc="http://schemas.openxmlformats.org/markup-compatibility/2006">
      <mc:Choice Requires="x14">
        <control shapeId="2277" r:id="rId4" name="CheckBox36">
          <controlPr locked="0" defaultSize="0" autoLine="0" r:id="rId5">
            <anchor moveWithCells="1" sizeWithCells="1">
              <from>
                <xdr:col>31</xdr:col>
                <xdr:colOff>66675</xdr:colOff>
                <xdr:row>7</xdr:row>
                <xdr:rowOff>9525</xdr:rowOff>
              </from>
              <to>
                <xdr:col>31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7" r:id="rId4" name="CheckBox36"/>
      </mc:Fallback>
    </mc:AlternateContent>
    <mc:AlternateContent xmlns:mc="http://schemas.openxmlformats.org/markup-compatibility/2006">
      <mc:Choice Requires="x14">
        <control shapeId="2276" r:id="rId6" name="CheckBox35">
          <controlPr locked="0" defaultSize="0" autoLine="0" r:id="rId7">
            <anchor moveWithCells="1" sizeWithCells="1">
              <from>
                <xdr:col>30</xdr:col>
                <xdr:colOff>66675</xdr:colOff>
                <xdr:row>7</xdr:row>
                <xdr:rowOff>9525</xdr:rowOff>
              </from>
              <to>
                <xdr:col>30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6" r:id="rId6" name="CheckBox35"/>
      </mc:Fallback>
    </mc:AlternateContent>
    <mc:AlternateContent xmlns:mc="http://schemas.openxmlformats.org/markup-compatibility/2006">
      <mc:Choice Requires="x14">
        <control shapeId="2275" r:id="rId8" name="CheckBox34">
          <controlPr locked="0" defaultSize="0" autoLine="0" r:id="rId9">
            <anchor moveWithCells="1" sizeWithCells="1">
              <from>
                <xdr:col>29</xdr:col>
                <xdr:colOff>66675</xdr:colOff>
                <xdr:row>7</xdr:row>
                <xdr:rowOff>9525</xdr:rowOff>
              </from>
              <to>
                <xdr:col>29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5" r:id="rId8" name="CheckBox34"/>
      </mc:Fallback>
    </mc:AlternateContent>
    <mc:AlternateContent xmlns:mc="http://schemas.openxmlformats.org/markup-compatibility/2006">
      <mc:Choice Requires="x14">
        <control shapeId="2274" r:id="rId10" name="CheckBox33">
          <controlPr locked="0" defaultSize="0" autoLine="0" r:id="rId11">
            <anchor moveWithCells="1" sizeWithCells="1">
              <from>
                <xdr:col>28</xdr:col>
                <xdr:colOff>66675</xdr:colOff>
                <xdr:row>7</xdr:row>
                <xdr:rowOff>9525</xdr:rowOff>
              </from>
              <to>
                <xdr:col>28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4" r:id="rId10" name="CheckBox33"/>
      </mc:Fallback>
    </mc:AlternateContent>
    <mc:AlternateContent xmlns:mc="http://schemas.openxmlformats.org/markup-compatibility/2006">
      <mc:Choice Requires="x14">
        <control shapeId="2273" r:id="rId12" name="CheckBox32">
          <controlPr locked="0" defaultSize="0" autoLine="0" r:id="rId13">
            <anchor moveWithCells="1" sizeWithCells="1">
              <from>
                <xdr:col>27</xdr:col>
                <xdr:colOff>66675</xdr:colOff>
                <xdr:row>7</xdr:row>
                <xdr:rowOff>9525</xdr:rowOff>
              </from>
              <to>
                <xdr:col>27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3" r:id="rId12" name="CheckBox32"/>
      </mc:Fallback>
    </mc:AlternateContent>
    <mc:AlternateContent xmlns:mc="http://schemas.openxmlformats.org/markup-compatibility/2006">
      <mc:Choice Requires="x14">
        <control shapeId="2272" r:id="rId14" name="CheckBox31">
          <controlPr locked="0" defaultSize="0" autoLine="0" r:id="rId15">
            <anchor moveWithCells="1" sizeWithCells="1">
              <from>
                <xdr:col>26</xdr:col>
                <xdr:colOff>66675</xdr:colOff>
                <xdr:row>7</xdr:row>
                <xdr:rowOff>9525</xdr:rowOff>
              </from>
              <to>
                <xdr:col>26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2" r:id="rId14" name="CheckBox31"/>
      </mc:Fallback>
    </mc:AlternateContent>
    <mc:AlternateContent xmlns:mc="http://schemas.openxmlformats.org/markup-compatibility/2006">
      <mc:Choice Requires="x14">
        <control shapeId="2271" r:id="rId16" name="CheckBox30">
          <controlPr locked="0" defaultSize="0" autoLine="0" r:id="rId17">
            <anchor moveWithCells="1" sizeWithCells="1">
              <from>
                <xdr:col>25</xdr:col>
                <xdr:colOff>66675</xdr:colOff>
                <xdr:row>7</xdr:row>
                <xdr:rowOff>9525</xdr:rowOff>
              </from>
              <to>
                <xdr:col>25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1" r:id="rId16" name="CheckBox30"/>
      </mc:Fallback>
    </mc:AlternateContent>
    <mc:AlternateContent xmlns:mc="http://schemas.openxmlformats.org/markup-compatibility/2006">
      <mc:Choice Requires="x14">
        <control shapeId="2270" r:id="rId18" name="CheckBox29">
          <controlPr locked="0" defaultSize="0" autoLine="0" r:id="rId19">
            <anchor moveWithCells="1" sizeWithCells="1">
              <from>
                <xdr:col>24</xdr:col>
                <xdr:colOff>66675</xdr:colOff>
                <xdr:row>7</xdr:row>
                <xdr:rowOff>9525</xdr:rowOff>
              </from>
              <to>
                <xdr:col>24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70" r:id="rId18" name="CheckBox29"/>
      </mc:Fallback>
    </mc:AlternateContent>
    <mc:AlternateContent xmlns:mc="http://schemas.openxmlformats.org/markup-compatibility/2006">
      <mc:Choice Requires="x14">
        <control shapeId="2269" r:id="rId20" name="CheckBox28">
          <controlPr locked="0" defaultSize="0" autoLine="0" r:id="rId21">
            <anchor moveWithCells="1" sizeWithCells="1">
              <from>
                <xdr:col>23</xdr:col>
                <xdr:colOff>66675</xdr:colOff>
                <xdr:row>7</xdr:row>
                <xdr:rowOff>9525</xdr:rowOff>
              </from>
              <to>
                <xdr:col>23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9" r:id="rId20" name="CheckBox28"/>
      </mc:Fallback>
    </mc:AlternateContent>
    <mc:AlternateContent xmlns:mc="http://schemas.openxmlformats.org/markup-compatibility/2006">
      <mc:Choice Requires="x14">
        <control shapeId="2268" r:id="rId22" name="CheckBox27">
          <controlPr locked="0" defaultSize="0" autoLine="0" r:id="rId23">
            <anchor moveWithCells="1" sizeWithCells="1">
              <from>
                <xdr:col>22</xdr:col>
                <xdr:colOff>66675</xdr:colOff>
                <xdr:row>7</xdr:row>
                <xdr:rowOff>9525</xdr:rowOff>
              </from>
              <to>
                <xdr:col>22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8" r:id="rId22" name="CheckBox27"/>
      </mc:Fallback>
    </mc:AlternateContent>
    <mc:AlternateContent xmlns:mc="http://schemas.openxmlformats.org/markup-compatibility/2006">
      <mc:Choice Requires="x14">
        <control shapeId="2267" r:id="rId24" name="CheckBox26">
          <controlPr locked="0" defaultSize="0" autoLine="0" r:id="rId25">
            <anchor moveWithCells="1" sizeWithCells="1">
              <from>
                <xdr:col>21</xdr:col>
                <xdr:colOff>66675</xdr:colOff>
                <xdr:row>7</xdr:row>
                <xdr:rowOff>9525</xdr:rowOff>
              </from>
              <to>
                <xdr:col>21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7" r:id="rId24" name="CheckBox26"/>
      </mc:Fallback>
    </mc:AlternateContent>
    <mc:AlternateContent xmlns:mc="http://schemas.openxmlformats.org/markup-compatibility/2006">
      <mc:Choice Requires="x14">
        <control shapeId="2266" r:id="rId26" name="CheckBox25">
          <controlPr locked="0" defaultSize="0" autoLine="0" r:id="rId27">
            <anchor moveWithCells="1" sizeWithCells="1">
              <from>
                <xdr:col>20</xdr:col>
                <xdr:colOff>66675</xdr:colOff>
                <xdr:row>7</xdr:row>
                <xdr:rowOff>9525</xdr:rowOff>
              </from>
              <to>
                <xdr:col>20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6" r:id="rId26" name="CheckBox25"/>
      </mc:Fallback>
    </mc:AlternateContent>
    <mc:AlternateContent xmlns:mc="http://schemas.openxmlformats.org/markup-compatibility/2006">
      <mc:Choice Requires="x14">
        <control shapeId="2264" r:id="rId28" name="CheckBox24">
          <controlPr locked="0" defaultSize="0" autoLine="0" r:id="rId29">
            <anchor moveWithCells="1" sizeWithCells="1">
              <from>
                <xdr:col>19</xdr:col>
                <xdr:colOff>66675</xdr:colOff>
                <xdr:row>7</xdr:row>
                <xdr:rowOff>9525</xdr:rowOff>
              </from>
              <to>
                <xdr:col>19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4" r:id="rId28" name="CheckBox24"/>
      </mc:Fallback>
    </mc:AlternateContent>
    <mc:AlternateContent xmlns:mc="http://schemas.openxmlformats.org/markup-compatibility/2006">
      <mc:Choice Requires="x14">
        <control shapeId="2263" r:id="rId30" name="CheckBox23">
          <controlPr locked="0" defaultSize="0" autoLine="0" r:id="rId31">
            <anchor moveWithCells="1" sizeWithCells="1">
              <from>
                <xdr:col>18</xdr:col>
                <xdr:colOff>66675</xdr:colOff>
                <xdr:row>7</xdr:row>
                <xdr:rowOff>9525</xdr:rowOff>
              </from>
              <to>
                <xdr:col>18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3" r:id="rId30" name="CheckBox23"/>
      </mc:Fallback>
    </mc:AlternateContent>
    <mc:AlternateContent xmlns:mc="http://schemas.openxmlformats.org/markup-compatibility/2006">
      <mc:Choice Requires="x14">
        <control shapeId="2262" r:id="rId32" name="CheckBox22">
          <controlPr locked="0" defaultSize="0" autoLine="0" r:id="rId33">
            <anchor moveWithCells="1" sizeWithCells="1">
              <from>
                <xdr:col>17</xdr:col>
                <xdr:colOff>66675</xdr:colOff>
                <xdr:row>7</xdr:row>
                <xdr:rowOff>9525</xdr:rowOff>
              </from>
              <to>
                <xdr:col>17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2" r:id="rId32" name="CheckBox22"/>
      </mc:Fallback>
    </mc:AlternateContent>
    <mc:AlternateContent xmlns:mc="http://schemas.openxmlformats.org/markup-compatibility/2006">
      <mc:Choice Requires="x14">
        <control shapeId="2261" r:id="rId34" name="CheckBox21">
          <controlPr locked="0" defaultSize="0" autoLine="0" r:id="rId35">
            <anchor moveWithCells="1" sizeWithCells="1">
              <from>
                <xdr:col>16</xdr:col>
                <xdr:colOff>66675</xdr:colOff>
                <xdr:row>7</xdr:row>
                <xdr:rowOff>9525</xdr:rowOff>
              </from>
              <to>
                <xdr:col>16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1" r:id="rId34" name="CheckBox21"/>
      </mc:Fallback>
    </mc:AlternateContent>
    <mc:AlternateContent xmlns:mc="http://schemas.openxmlformats.org/markup-compatibility/2006">
      <mc:Choice Requires="x14">
        <control shapeId="2260" r:id="rId36" name="CheckBox20">
          <controlPr locked="0" defaultSize="0" autoLine="0" r:id="rId37">
            <anchor moveWithCells="1" sizeWithCells="1">
              <from>
                <xdr:col>15</xdr:col>
                <xdr:colOff>66675</xdr:colOff>
                <xdr:row>7</xdr:row>
                <xdr:rowOff>9525</xdr:rowOff>
              </from>
              <to>
                <xdr:col>15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60" r:id="rId36" name="CheckBox20"/>
      </mc:Fallback>
    </mc:AlternateContent>
    <mc:AlternateContent xmlns:mc="http://schemas.openxmlformats.org/markup-compatibility/2006">
      <mc:Choice Requires="x14">
        <control shapeId="2259" r:id="rId38" name="CheckBox19">
          <controlPr locked="0" defaultSize="0" autoLine="0" r:id="rId39">
            <anchor moveWithCells="1" sizeWithCells="1">
              <from>
                <xdr:col>14</xdr:col>
                <xdr:colOff>66675</xdr:colOff>
                <xdr:row>7</xdr:row>
                <xdr:rowOff>9525</xdr:rowOff>
              </from>
              <to>
                <xdr:col>14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9" r:id="rId38" name="CheckBox19"/>
      </mc:Fallback>
    </mc:AlternateContent>
    <mc:AlternateContent xmlns:mc="http://schemas.openxmlformats.org/markup-compatibility/2006">
      <mc:Choice Requires="x14">
        <control shapeId="2258" r:id="rId40" name="CheckBox18">
          <controlPr locked="0" defaultSize="0" autoLine="0" r:id="rId41">
            <anchor moveWithCells="1" sizeWithCells="1">
              <from>
                <xdr:col>13</xdr:col>
                <xdr:colOff>66675</xdr:colOff>
                <xdr:row>7</xdr:row>
                <xdr:rowOff>9525</xdr:rowOff>
              </from>
              <to>
                <xdr:col>13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8" r:id="rId40" name="CheckBox18"/>
      </mc:Fallback>
    </mc:AlternateContent>
    <mc:AlternateContent xmlns:mc="http://schemas.openxmlformats.org/markup-compatibility/2006">
      <mc:Choice Requires="x14">
        <control shapeId="2257" r:id="rId42" name="CheckBox17">
          <controlPr locked="0" defaultSize="0" autoLine="0" r:id="rId43">
            <anchor moveWithCells="1" sizeWithCells="1">
              <from>
                <xdr:col>12</xdr:col>
                <xdr:colOff>66675</xdr:colOff>
                <xdr:row>7</xdr:row>
                <xdr:rowOff>9525</xdr:rowOff>
              </from>
              <to>
                <xdr:col>12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7" r:id="rId42" name="CheckBox17"/>
      </mc:Fallback>
    </mc:AlternateContent>
    <mc:AlternateContent xmlns:mc="http://schemas.openxmlformats.org/markup-compatibility/2006">
      <mc:Choice Requires="x14">
        <control shapeId="2255" r:id="rId44" name="CheckBox16">
          <controlPr locked="0" defaultSize="0" autoLine="0" r:id="rId45">
            <anchor moveWithCells="1" sizeWithCells="1">
              <from>
                <xdr:col>11</xdr:col>
                <xdr:colOff>66675</xdr:colOff>
                <xdr:row>7</xdr:row>
                <xdr:rowOff>9525</xdr:rowOff>
              </from>
              <to>
                <xdr:col>11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5" r:id="rId44" name="CheckBox16"/>
      </mc:Fallback>
    </mc:AlternateContent>
    <mc:AlternateContent xmlns:mc="http://schemas.openxmlformats.org/markup-compatibility/2006">
      <mc:Choice Requires="x14">
        <control shapeId="2254" r:id="rId46" name="CheckBox15">
          <controlPr locked="0" defaultSize="0" autoLine="0" r:id="rId47">
            <anchor moveWithCells="1" sizeWithCells="1">
              <from>
                <xdr:col>10</xdr:col>
                <xdr:colOff>66675</xdr:colOff>
                <xdr:row>7</xdr:row>
                <xdr:rowOff>9525</xdr:rowOff>
              </from>
              <to>
                <xdr:col>10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4" r:id="rId46" name="CheckBox15"/>
      </mc:Fallback>
    </mc:AlternateContent>
    <mc:AlternateContent xmlns:mc="http://schemas.openxmlformats.org/markup-compatibility/2006">
      <mc:Choice Requires="x14">
        <control shapeId="2253" r:id="rId48" name="CheckBox14">
          <controlPr locked="0" defaultSize="0" autoLine="0" r:id="rId49">
            <anchor moveWithCells="1" sizeWithCells="1">
              <from>
                <xdr:col>9</xdr:col>
                <xdr:colOff>66675</xdr:colOff>
                <xdr:row>7</xdr:row>
                <xdr:rowOff>9525</xdr:rowOff>
              </from>
              <to>
                <xdr:col>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3" r:id="rId48" name="CheckBox14"/>
      </mc:Fallback>
    </mc:AlternateContent>
    <mc:AlternateContent xmlns:mc="http://schemas.openxmlformats.org/markup-compatibility/2006">
      <mc:Choice Requires="x14">
        <control shapeId="2252" r:id="rId50" name="CheckBox13">
          <controlPr locked="0" defaultSize="0" autoLine="0" r:id="rId51">
            <anchor moveWithCells="1" sizeWithCells="1">
              <from>
                <xdr:col>8</xdr:col>
                <xdr:colOff>66675</xdr:colOff>
                <xdr:row>7</xdr:row>
                <xdr:rowOff>9525</xdr:rowOff>
              </from>
              <to>
                <xdr:col>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2" r:id="rId50" name="CheckBox13"/>
      </mc:Fallback>
    </mc:AlternateContent>
    <mc:AlternateContent xmlns:mc="http://schemas.openxmlformats.org/markup-compatibility/2006">
      <mc:Choice Requires="x14">
        <control shapeId="2251" r:id="rId52" name="CheckBox12">
          <controlPr locked="0" defaultSize="0" autoLine="0" r:id="rId53">
            <anchor moveWithCells="1" sizeWithCells="1">
              <from>
                <xdr:col>7</xdr:col>
                <xdr:colOff>66675</xdr:colOff>
                <xdr:row>7</xdr:row>
                <xdr:rowOff>9525</xdr:rowOff>
              </from>
              <to>
                <xdr:col>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1" r:id="rId52" name="CheckBox12"/>
      </mc:Fallback>
    </mc:AlternateContent>
    <mc:AlternateContent xmlns:mc="http://schemas.openxmlformats.org/markup-compatibility/2006">
      <mc:Choice Requires="x14">
        <control shapeId="2250" r:id="rId54" name="CheckBox11">
          <controlPr locked="0" defaultSize="0" autoLine="0" r:id="rId55">
            <anchor moveWithCells="1" sizeWithCells="1">
              <from>
                <xdr:col>6</xdr:col>
                <xdr:colOff>66675</xdr:colOff>
                <xdr:row>7</xdr:row>
                <xdr:rowOff>9525</xdr:rowOff>
              </from>
              <to>
                <xdr:col>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50" r:id="rId54" name="CheckBox11"/>
      </mc:Fallback>
    </mc:AlternateContent>
    <mc:AlternateContent xmlns:mc="http://schemas.openxmlformats.org/markup-compatibility/2006">
      <mc:Choice Requires="x14">
        <control shapeId="2249" r:id="rId56" name="CheckBox10">
          <controlPr locked="0" defaultSize="0" autoLine="0" r:id="rId57">
            <anchor moveWithCells="1" sizeWithCells="1">
              <from>
                <xdr:col>5</xdr:col>
                <xdr:colOff>66675</xdr:colOff>
                <xdr:row>7</xdr:row>
                <xdr:rowOff>9525</xdr:rowOff>
              </from>
              <to>
                <xdr:col>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49" r:id="rId56" name="CheckBox10"/>
      </mc:Fallback>
    </mc:AlternateContent>
    <mc:AlternateContent xmlns:mc="http://schemas.openxmlformats.org/markup-compatibility/2006">
      <mc:Choice Requires="x14">
        <control shapeId="2248" r:id="rId58" name="CheckBox9">
          <controlPr locked="0" defaultSize="0" autoLine="0" r:id="rId59">
            <anchor moveWithCells="1" sizeWithCells="1">
              <from>
                <xdr:col>4</xdr:col>
                <xdr:colOff>66675</xdr:colOff>
                <xdr:row>7</xdr:row>
                <xdr:rowOff>9525</xdr:rowOff>
              </from>
              <to>
                <xdr:col>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48" r:id="rId58" name="CheckBox9"/>
      </mc:Fallback>
    </mc:AlternateContent>
    <mc:AlternateContent xmlns:mc="http://schemas.openxmlformats.org/markup-compatibility/2006">
      <mc:Choice Requires="x14">
        <control shapeId="2247" r:id="rId60" name="CheckBox8">
          <controlPr locked="0" defaultSize="0" autoLine="0" r:id="rId61">
            <anchor moveWithCells="1" sizeWithCells="1">
              <from>
                <xdr:col>3</xdr:col>
                <xdr:colOff>66675</xdr:colOff>
                <xdr:row>7</xdr:row>
                <xdr:rowOff>9525</xdr:rowOff>
              </from>
              <to>
                <xdr:col>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47" r:id="rId60" name="CheckBox8"/>
      </mc:Fallback>
    </mc:AlternateContent>
    <mc:AlternateContent xmlns:mc="http://schemas.openxmlformats.org/markup-compatibility/2006">
      <mc:Choice Requires="x14">
        <control shapeId="2246" r:id="rId62" name="CheckBox7">
          <controlPr locked="0" defaultSize="0" autoLine="0" r:id="rId63">
            <anchor moveWithCells="1" sizeWithCells="1">
              <from>
                <xdr:col>2</xdr:col>
                <xdr:colOff>66675</xdr:colOff>
                <xdr:row>7</xdr:row>
                <xdr:rowOff>9525</xdr:rowOff>
              </from>
              <to>
                <xdr:col>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46" r:id="rId62" name="CheckBox7"/>
      </mc:Fallback>
    </mc:AlternateContent>
    <mc:AlternateContent xmlns:mc="http://schemas.openxmlformats.org/markup-compatibility/2006">
      <mc:Choice Requires="x14">
        <control shapeId="2244" r:id="rId64" name="CheckBox6">
          <controlPr locked="0" defaultSize="0" autoLine="0" r:id="rId65">
            <anchor moveWithCells="1" sizeWithCells="1">
              <from>
                <xdr:col>1</xdr:col>
                <xdr:colOff>66675</xdr:colOff>
                <xdr:row>7</xdr:row>
                <xdr:rowOff>9525</xdr:rowOff>
              </from>
              <to>
                <xdr:col>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2244" r:id="rId64" name="CheckBox6"/>
      </mc:Fallback>
    </mc:AlternateContent>
    <mc:AlternateContent xmlns:mc="http://schemas.openxmlformats.org/markup-compatibility/2006">
      <mc:Choice Requires="x14">
        <control shapeId="2049" r:id="rId66" name="CheckBox1">
          <controlPr locked="0" defaultSize="0" autoLine="0" r:id="rId67">
            <anchor moveWithCells="1" sizeWithCells="1">
              <from>
                <xdr:col>0</xdr:col>
                <xdr:colOff>66675</xdr:colOff>
                <xdr:row>1</xdr:row>
                <xdr:rowOff>47625</xdr:rowOff>
              </from>
              <to>
                <xdr:col>0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2049" r:id="rId66" name="CheckBox1"/>
      </mc:Fallback>
    </mc:AlternateContent>
    <mc:AlternateContent xmlns:mc="http://schemas.openxmlformats.org/markup-compatibility/2006">
      <mc:Choice Requires="x14">
        <control shapeId="2050" r:id="rId68" name="CheckBox2">
          <controlPr locked="0" defaultSize="0" autoLine="0" r:id="rId69">
            <anchor moveWithCells="1" sizeWithCells="1">
              <from>
                <xdr:col>0</xdr:col>
                <xdr:colOff>895350</xdr:colOff>
                <xdr:row>1</xdr:row>
                <xdr:rowOff>47625</xdr:rowOff>
              </from>
              <to>
                <xdr:col>0</xdr:col>
                <xdr:colOff>1047750</xdr:colOff>
                <xdr:row>1</xdr:row>
                <xdr:rowOff>190500</xdr:rowOff>
              </to>
            </anchor>
          </controlPr>
        </control>
      </mc:Choice>
      <mc:Fallback>
        <control shapeId="2050" r:id="rId68" name="CheckBox2"/>
      </mc:Fallback>
    </mc:AlternateContent>
    <mc:AlternateContent xmlns:mc="http://schemas.openxmlformats.org/markup-compatibility/2006">
      <mc:Choice Requires="x14">
        <control shapeId="2051" r:id="rId70" name="CheckBox3">
          <controlPr locked="0" defaultSize="0" autoLine="0" r:id="rId71">
            <anchor moveWithCells="1" sizeWithCells="1">
              <from>
                <xdr:col>1</xdr:col>
                <xdr:colOff>133350</xdr:colOff>
                <xdr:row>1</xdr:row>
                <xdr:rowOff>57150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70" name="CheckBox3"/>
      </mc:Fallback>
    </mc:AlternateContent>
    <mc:AlternateContent xmlns:mc="http://schemas.openxmlformats.org/markup-compatibility/2006">
      <mc:Choice Requires="x14">
        <control shapeId="2052" r:id="rId72" name="CheckBox4">
          <controlPr locked="0" defaultSize="0" autoLine="0" r:id="rId73">
            <anchor moveWithCells="1" sizeWithCells="1">
              <from>
                <xdr:col>4</xdr:col>
                <xdr:colOff>66675</xdr:colOff>
                <xdr:row>1</xdr:row>
                <xdr:rowOff>47625</xdr:rowOff>
              </from>
              <to>
                <xdr:col>4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2052" r:id="rId72" name="CheckBox4"/>
      </mc:Fallback>
    </mc:AlternateContent>
    <mc:AlternateContent xmlns:mc="http://schemas.openxmlformats.org/markup-compatibility/2006">
      <mc:Choice Requires="x14">
        <control shapeId="2053" r:id="rId74" name="CheckBox5">
          <controlPr locked="0" defaultSize="0" autoLine="0" r:id="rId75">
            <anchor moveWithCells="1" sizeWithCells="1">
              <from>
                <xdr:col>7</xdr:col>
                <xdr:colOff>28575</xdr:colOff>
                <xdr:row>1</xdr:row>
                <xdr:rowOff>47625</xdr:rowOff>
              </from>
              <to>
                <xdr:col>7</xdr:col>
                <xdr:colOff>180975</xdr:colOff>
                <xdr:row>1</xdr:row>
                <xdr:rowOff>190500</xdr:rowOff>
              </to>
            </anchor>
          </controlPr>
        </control>
      </mc:Choice>
      <mc:Fallback>
        <control shapeId="2053" r:id="rId74" name="CheckBox5"/>
      </mc:Fallback>
    </mc:AlternateContent>
    <mc:AlternateContent xmlns:mc="http://schemas.openxmlformats.org/markup-compatibility/2006">
      <mc:Choice Requires="x14">
        <control shapeId="2278" r:id="rId76" name="CheckBox37">
          <controlPr locked="0" defaultSize="0" autoLine="0" r:id="rId77">
            <anchor moveWithCells="1" sizeWithCells="1">
              <from>
                <xdr:col>0</xdr:col>
                <xdr:colOff>342900</xdr:colOff>
                <xdr:row>0</xdr:row>
                <xdr:rowOff>200025</xdr:rowOff>
              </from>
              <to>
                <xdr:col>0</xdr:col>
                <xdr:colOff>495300</xdr:colOff>
                <xdr:row>0</xdr:row>
                <xdr:rowOff>342900</xdr:rowOff>
              </to>
            </anchor>
          </controlPr>
        </control>
      </mc:Choice>
      <mc:Fallback>
        <control shapeId="2278" r:id="rId76" name="CheckBox37"/>
      </mc:Fallback>
    </mc:AlternateContent>
    <mc:AlternateContent xmlns:mc="http://schemas.openxmlformats.org/markup-compatibility/2006">
      <mc:Choice Requires="x14">
        <control shapeId="2279" r:id="rId78" name="CheckBox38">
          <controlPr locked="0" defaultSize="0" autoLine="0" r:id="rId79">
            <anchor moveWithCells="1" sizeWithCells="1">
              <from>
                <xdr:col>0</xdr:col>
                <xdr:colOff>1000125</xdr:colOff>
                <xdr:row>0</xdr:row>
                <xdr:rowOff>190500</xdr:rowOff>
              </from>
              <to>
                <xdr:col>0</xdr:col>
                <xdr:colOff>1152525</xdr:colOff>
                <xdr:row>0</xdr:row>
                <xdr:rowOff>333375</xdr:rowOff>
              </to>
            </anchor>
          </controlPr>
        </control>
      </mc:Choice>
      <mc:Fallback>
        <control shapeId="2279" r:id="rId78" name="CheckBox38"/>
      </mc:Fallback>
    </mc:AlternateContent>
    <mc:AlternateContent xmlns:mc="http://schemas.openxmlformats.org/markup-compatibility/2006">
      <mc:Choice Requires="x14">
        <control shapeId="2280" r:id="rId80" name="CheckBox39">
          <controlPr locked="0" defaultSize="0" autoLine="0" r:id="rId81">
            <anchor moveWithCells="1" sizeWithCells="1">
              <from>
                <xdr:col>2</xdr:col>
                <xdr:colOff>200025</xdr:colOff>
                <xdr:row>0</xdr:row>
                <xdr:rowOff>190500</xdr:rowOff>
              </from>
              <to>
                <xdr:col>3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2280" r:id="rId80" name="CheckBox39"/>
      </mc:Fallback>
    </mc:AlternateContent>
    <mc:AlternateContent xmlns:mc="http://schemas.openxmlformats.org/markup-compatibility/2006">
      <mc:Choice Requires="x14">
        <control shapeId="2281" r:id="rId82" name="CheckBox40">
          <controlPr locked="0" defaultSize="0" autoLine="0" r:id="rId83">
            <anchor moveWithCells="1" sizeWithCells="1">
              <from>
                <xdr:col>5</xdr:col>
                <xdr:colOff>19050</xdr:colOff>
                <xdr:row>0</xdr:row>
                <xdr:rowOff>190500</xdr:rowOff>
              </from>
              <to>
                <xdr:col>5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2281" r:id="rId82" name="CheckBox40"/>
      </mc:Fallback>
    </mc:AlternateContent>
    <mc:AlternateContent xmlns:mc="http://schemas.openxmlformats.org/markup-compatibility/2006">
      <mc:Choice Requires="x14">
        <control shapeId="2058" r:id="rId84" name="Label 10">
          <controlPr defaultSize="0" autoFill="0" autoLine="0" autoPict="0" macro="[0]!Protect_InitialsB1">
            <anchor moveWithCells="1">
              <from>
                <xdr:col>1</xdr:col>
                <xdr:colOff>0</xdr:colOff>
                <xdr:row>25</xdr:row>
                <xdr:rowOff>9525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85" name="Label 12">
          <controlPr defaultSize="0" autoFill="0" autoLine="0" autoPict="0" macro="[0]!Protect_InitialsG2">
            <anchor moveWithCells="1">
              <from>
                <xdr:col>6</xdr:col>
                <xdr:colOff>9525</xdr:colOff>
                <xdr:row>26</xdr:row>
                <xdr:rowOff>0</xdr:rowOff>
              </from>
              <to>
                <xdr:col>7</xdr:col>
                <xdr:colOff>9525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86" name="Label 13">
          <controlPr defaultSize="0" autoFill="0" autoLine="0" autoPict="0" macro="[0]!Protect_InitialsC1">
            <anchor moveWithCells="1">
              <from>
                <xdr:col>2</xdr:col>
                <xdr:colOff>9525</xdr:colOff>
                <xdr:row>25</xdr:row>
                <xdr:rowOff>9525</xdr:rowOff>
              </from>
              <to>
                <xdr:col>3</xdr:col>
                <xdr:colOff>9525</xdr:colOff>
                <xdr:row>25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7" name="Label 14">
          <controlPr defaultSize="0" autoFill="0" autoLine="0" autoPict="0" macro="[0]!Protect_InitialsC2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88" name="Label 15">
          <controlPr defaultSize="0" autoFill="0" autoLine="0" autoPict="0" macro="[0]!Protect_InitialsD1">
            <anchor moveWithCells="1" sizeWithCells="1">
              <from>
                <xdr:col>3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9" name="Label 16">
          <controlPr defaultSize="0" autoFill="0" autoLine="0" autoPict="0" macro="[0]!Protect_InitialsD2">
            <anchor moveWithCells="1" sizeWithCells="1">
              <from>
                <xdr:col>3</xdr:col>
                <xdr:colOff>0</xdr:colOff>
                <xdr:row>26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0" name="Label 17">
          <controlPr defaultSize="0" autoFill="0" autoLine="0" autoPict="0" macro="[0]!Protect_InitialsE1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91" name="Label 18">
          <controlPr defaultSize="0" autoFill="0" autoLine="0" autoPict="0" macro="[0]!Protect_InitialsJ2">
            <anchor moveWithCells="1" sizeWithCells="1">
              <from>
                <xdr:col>9</xdr:col>
                <xdr:colOff>0</xdr:colOff>
                <xdr:row>26</xdr:row>
                <xdr:rowOff>0</xdr:rowOff>
              </from>
              <to>
                <xdr:col>10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92" name="Label 79">
          <controlPr defaultSize="0" autoFill="0" autoLine="0" autoPict="0" macro="[0]!Protect_InitialsF1">
            <anchor moveWithCells="1" siz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93" name="Label 82">
          <controlPr defaultSize="0" autoFill="0" autoLine="0" autoPict="0" macro="[0]!Protect_InitialsK2">
            <anchor moveWithCells="1" sizeWithCells="1">
              <from>
                <xdr:col>10</xdr:col>
                <xdr:colOff>0</xdr:colOff>
                <xdr:row>26</xdr:row>
                <xdr:rowOff>0</xdr:rowOff>
              </from>
              <to>
                <xdr:col>11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94" name="Label 83">
          <controlPr defaultSize="0" autoFill="0" autoLine="0" autoPict="0" macro="[0]!Protect_InitialsG1">
            <anchor moveWithCells="1" sizeWithCells="1">
              <from>
                <xdr:col>6</xdr:col>
                <xdr:colOff>0</xdr:colOff>
                <xdr:row>25</xdr:row>
                <xdr:rowOff>0</xdr:rowOff>
              </from>
              <to>
                <xdr:col>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95" name="Label 84">
          <controlPr defaultSize="0" autoFill="0" autoLine="0" autoPict="0" macro="[0]!Protect_InitialsL2">
            <anchor moveWithCells="1" siz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96" name="Label 85">
          <controlPr defaultSize="0" autoFill="0" autoLine="0" autoPict="0" macro="[0]!Protect_InitialsH1">
            <anchor moveWithCells="1" sizeWithCells="1">
              <from>
                <xdr:col>7</xdr:col>
                <xdr:colOff>0</xdr:colOff>
                <xdr:row>25</xdr:row>
                <xdr:rowOff>0</xdr:rowOff>
              </from>
              <to>
                <xdr:col>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97" name="Label 86">
          <controlPr defaultSize="0" autoFill="0" autoLine="0" autoPict="0" macro="[0]!Protect_InitialsM2">
            <anchor moveWithCells="1" sizeWithCells="1">
              <from>
                <xdr:col>12</xdr:col>
                <xdr:colOff>0</xdr:colOff>
                <xdr:row>26</xdr:row>
                <xdr:rowOff>0</xdr:rowOff>
              </from>
              <to>
                <xdr:col>13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98" name="Label 87">
          <controlPr defaultSize="0" autoFill="0" autoLine="0" autoPict="0" macro="[0]!Protect_InitialsI1">
            <anchor moveWithCells="1" siz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6" r:id="rId99" name="Label 88">
          <controlPr defaultSize="0" autoFill="0" autoLine="0" autoPict="0" macro="[0]!Protect_InitialsN2">
            <anchor moveWithCells="1" sizeWithCells="1">
              <from>
                <xdr:col>13</xdr:col>
                <xdr:colOff>0</xdr:colOff>
                <xdr:row>26</xdr:row>
                <xdr:rowOff>0</xdr:rowOff>
              </from>
              <to>
                <xdr:col>14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7" r:id="rId100" name="Label 89">
          <controlPr defaultSize="0" autoFill="0" autoLine="0" autoPict="0" macro="[0]!Protect_InitialsJ1">
            <anchor moveWithCells="1" sizeWithCells="1">
              <from>
                <xdr:col>9</xdr:col>
                <xdr:colOff>0</xdr:colOff>
                <xdr:row>25</xdr:row>
                <xdr:rowOff>0</xdr:rowOff>
              </from>
              <to>
                <xdr:col>10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8" r:id="rId101" name="Label 90">
          <controlPr defaultSize="0" autoFill="0" autoLine="0" autoPict="0" macro="[0]!Protect_InitialsO2">
            <anchor moveWithCells="1" sizeWithCells="1">
              <from>
                <xdr:col>14</xdr:col>
                <xdr:colOff>0</xdr:colOff>
                <xdr:row>26</xdr:row>
                <xdr:rowOff>0</xdr:rowOff>
              </from>
              <to>
                <xdr:col>15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9" r:id="rId102" name="Label 91">
          <controlPr defaultSize="0" autoFill="0" autoLine="0" autoPict="0" macro="[0]!Protect_InitialsK1">
            <anchor moveWithCells="1" sizeWithCells="1">
              <from>
                <xdr:col>10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0" r:id="rId103" name="Label 92">
          <controlPr defaultSize="0" autoFill="0" autoLine="0" autoPict="0" macro="[0]!Protect_InitialsP2">
            <anchor moveWithCells="1" sizeWithCells="1">
              <from>
                <xdr:col>15</xdr:col>
                <xdr:colOff>0</xdr:colOff>
                <xdr:row>26</xdr:row>
                <xdr:rowOff>0</xdr:rowOff>
              </from>
              <to>
                <xdr:col>16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1" r:id="rId104" name="Label 93">
          <controlPr defaultSize="0" autoFill="0" autoLine="0" autoPict="0" macro="[0]!Protect_InitialsL1">
            <anchor moveWithCells="1" siz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2" r:id="rId105" name="Label 94">
          <controlPr defaultSize="0" autoFill="0" autoLine="0" autoPict="0" macro="[0]!Protect_InitialsQ2">
            <anchor moveWithCells="1" sizeWithCells="1">
              <from>
                <xdr:col>16</xdr:col>
                <xdr:colOff>0</xdr:colOff>
                <xdr:row>26</xdr:row>
                <xdr:rowOff>0</xdr:rowOff>
              </from>
              <to>
                <xdr:col>17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3" r:id="rId106" name="Label 95">
          <controlPr defaultSize="0" autoFill="0" autoLine="0" autoPict="0" macro="[0]!Protect_InitialsM1">
            <anchor moveWithCells="1" sizeWithCells="1">
              <from>
                <xdr:col>12</xdr:col>
                <xdr:colOff>0</xdr:colOff>
                <xdr:row>25</xdr:row>
                <xdr:rowOff>0</xdr:rowOff>
              </from>
              <to>
                <xdr:col>13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4" r:id="rId107" name="Label 96">
          <controlPr defaultSize="0" autoFill="0" autoLine="0" autoPict="0" macro="[0]!Protect_InitialsR2">
            <anchor moveWithCells="1" sizeWithCells="1">
              <from>
                <xdr:col>17</xdr:col>
                <xdr:colOff>0</xdr:colOff>
                <xdr:row>26</xdr:row>
                <xdr:rowOff>0</xdr:rowOff>
              </from>
              <to>
                <xdr:col>18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5" r:id="rId108" name="Label 97">
          <controlPr defaultSize="0" autoFill="0" autoLine="0" autoPict="0" macro="[0]!Protect_InitialsN1">
            <anchor moveWithCells="1" sizeWithCells="1">
              <from>
                <xdr:col>13</xdr:col>
                <xdr:colOff>0</xdr:colOff>
                <xdr:row>25</xdr:row>
                <xdr:rowOff>0</xdr:rowOff>
              </from>
              <to>
                <xdr:col>14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7" r:id="rId109" name="Label 99">
          <controlPr defaultSize="0" autoFill="0" autoLine="0" autoPict="0" macro="[0]!Protect_InitialsO1">
            <anchor moveWithCells="1" sizeWithCells="1">
              <from>
                <xdr:col>14</xdr:col>
                <xdr:colOff>0</xdr:colOff>
                <xdr:row>25</xdr:row>
                <xdr:rowOff>0</xdr:rowOff>
              </from>
              <to>
                <xdr:col>15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9" r:id="rId110" name="Label 101">
          <controlPr defaultSize="0" autoFill="0" autoLine="0" autoPict="0" macro="[0]!Protect_InitialsP1">
            <anchor moveWithCells="1" sizeWithCells="1">
              <from>
                <xdr:col>15</xdr:col>
                <xdr:colOff>0</xdr:colOff>
                <xdr:row>25</xdr:row>
                <xdr:rowOff>0</xdr:rowOff>
              </from>
              <to>
                <xdr:col>16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" r:id="rId111" name="Label 103">
          <controlPr defaultSize="0" autoFill="0" autoLine="0" autoPict="0" macro="[0]!Protect_InitialsQ1">
            <anchor moveWithCells="1" sizeWithCells="1">
              <from>
                <xdr:col>16</xdr:col>
                <xdr:colOff>0</xdr:colOff>
                <xdr:row>25</xdr:row>
                <xdr:rowOff>0</xdr:rowOff>
              </from>
              <to>
                <xdr:col>17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" r:id="rId112" name="Label 105">
          <controlPr defaultSize="0" autoFill="0" autoLine="0" autoPict="0" macro="[0]!Protect_InitialsR1">
            <anchor moveWithCells="1" sizeWithCells="1">
              <from>
                <xdr:col>17</xdr:col>
                <xdr:colOff>0</xdr:colOff>
                <xdr:row>25</xdr:row>
                <xdr:rowOff>0</xdr:rowOff>
              </from>
              <to>
                <xdr:col>18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5" r:id="rId113" name="Label 107">
          <controlPr defaultSize="0" autoFill="0" autoLine="0" autoPict="0" macro="[0]!Protect_InitialsS1">
            <anchor moveWithCells="1" siz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r:id="rId114" name="Label 108">
          <controlPr defaultSize="0" autoFill="0" autoLine="0" autoPict="0" macro="[0]!Protect_InitialsS2">
            <anchor moveWithCells="1" siz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115" name="Label 109">
          <controlPr defaultSize="0" autoFill="0" autoLine="0" autoPict="0" macro="[0]!Protect_InitialsT1">
            <anchor moveWithCells="1" sizeWithCells="1">
              <from>
                <xdr:col>19</xdr:col>
                <xdr:colOff>0</xdr:colOff>
                <xdr:row>25</xdr:row>
                <xdr:rowOff>0</xdr:rowOff>
              </from>
              <to>
                <xdr:col>20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8" r:id="rId116" name="Label 110">
          <controlPr defaultSize="0" autoFill="0" autoLine="0" autoPict="0" macro="[0]!Protect_InitialsT2">
            <anchor moveWithCells="1" sizeWithCells="1">
              <from>
                <xdr:col>19</xdr:col>
                <xdr:colOff>0</xdr:colOff>
                <xdr:row>26</xdr:row>
                <xdr:rowOff>0</xdr:rowOff>
              </from>
              <to>
                <xdr:col>20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9" r:id="rId117" name="Label 111">
          <controlPr defaultSize="0" autoFill="0" autoLine="0" autoPict="0" macro="[0]!Protect_InitialsU1">
            <anchor moveWithCells="1" sizeWithCells="1">
              <from>
                <xdr:col>20</xdr:col>
                <xdr:colOff>0</xdr:colOff>
                <xdr:row>25</xdr:row>
                <xdr:rowOff>0</xdr:rowOff>
              </from>
              <to>
                <xdr:col>21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1" r:id="rId118" name="Label 113">
          <controlPr defaultSize="0" autoFill="0" autoLine="0" autoPict="0" macro="[0]!Protect_InitialsU2">
            <anchor moveWithCells="1" sizeWithCells="1">
              <from>
                <xdr:col>20</xdr:col>
                <xdr:colOff>0</xdr:colOff>
                <xdr:row>26</xdr:row>
                <xdr:rowOff>0</xdr:rowOff>
              </from>
              <to>
                <xdr:col>21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2" r:id="rId119" name="Label 114">
          <controlPr defaultSize="0" autoFill="0" autoLine="0" autoPict="0" macro="[0]!Protect_InitialsV1">
            <anchor moveWithCells="1" sizeWithCells="1">
              <from>
                <xdr:col>21</xdr:col>
                <xdr:colOff>0</xdr:colOff>
                <xdr:row>25</xdr:row>
                <xdr:rowOff>0</xdr:rowOff>
              </from>
              <to>
                <xdr:col>22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3" r:id="rId120" name="Label 115">
          <controlPr defaultSize="0" autoFill="0" autoLine="0" autoPict="0" macro="[0]!Protect_InitialsV2">
            <anchor moveWithCells="1" sizeWithCells="1">
              <from>
                <xdr:col>21</xdr:col>
                <xdr:colOff>0</xdr:colOff>
                <xdr:row>26</xdr:row>
                <xdr:rowOff>0</xdr:rowOff>
              </from>
              <to>
                <xdr:col>22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4" r:id="rId121" name="Label 116">
          <controlPr defaultSize="0" autoFill="0" autoLine="0" autoPict="0" macro="[0]!Protect_InitialsW1">
            <anchor moveWithCells="1" sizeWithCells="1">
              <from>
                <xdr:col>22</xdr:col>
                <xdr:colOff>0</xdr:colOff>
                <xdr:row>25</xdr:row>
                <xdr:rowOff>0</xdr:rowOff>
              </from>
              <to>
                <xdr:col>23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5" r:id="rId122" name="Label 117">
          <controlPr defaultSize="0" autoFill="0" autoLine="0" autoPict="0" macro="[0]!Protect_InitialsW2">
            <anchor moveWithCells="1" sizeWithCells="1">
              <from>
                <xdr:col>22</xdr:col>
                <xdr:colOff>0</xdr:colOff>
                <xdr:row>26</xdr:row>
                <xdr:rowOff>0</xdr:rowOff>
              </from>
              <to>
                <xdr:col>23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6" r:id="rId123" name="Label 118">
          <controlPr defaultSize="0" autoFill="0" autoLine="0" autoPict="0" macro="[0]!Protect_InitialsX1">
            <anchor moveWithCells="1" sizeWithCells="1">
              <from>
                <xdr:col>23</xdr:col>
                <xdr:colOff>0</xdr:colOff>
                <xdr:row>25</xdr:row>
                <xdr:rowOff>0</xdr:rowOff>
              </from>
              <to>
                <xdr:col>24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124" name="Label 120">
          <controlPr defaultSize="0" autoFill="0" autoLine="0" autoPict="0" macro="[0]!Protect_InitialsY1">
            <anchor moveWithCells="1" sizeWithCells="1">
              <from>
                <xdr:col>24</xdr:col>
                <xdr:colOff>0</xdr:colOff>
                <xdr:row>25</xdr:row>
                <xdr:rowOff>0</xdr:rowOff>
              </from>
              <to>
                <xdr:col>25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125" name="Label 122">
          <controlPr defaultSize="0" autoFill="0" autoLine="0" autoPict="0" macro="[0]!Protect_InitialsZ1">
            <anchor moveWithCells="1" siz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126" name="Label 124">
          <controlPr defaultSize="0" autoFill="0" autoLine="0" autoPict="0" macro="[0]!Protect_InitialsAA1">
            <anchor moveWithCells="1" sizeWithCells="1">
              <from>
                <xdr:col>26</xdr:col>
                <xdr:colOff>0</xdr:colOff>
                <xdr:row>25</xdr:row>
                <xdr:rowOff>0</xdr:rowOff>
              </from>
              <to>
                <xdr:col>27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4" r:id="rId127" name="Label 126">
          <controlPr defaultSize="0" autoFill="0" autoLine="0" autoPict="0" macro="[0]!Protect_InitialsAB1">
            <anchor moveWithCells="1" sizeWithCells="1">
              <from>
                <xdr:col>27</xdr:col>
                <xdr:colOff>0</xdr:colOff>
                <xdr:row>25</xdr:row>
                <xdr:rowOff>0</xdr:rowOff>
              </from>
              <to>
                <xdr:col>28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6" r:id="rId128" name="Label 128">
          <controlPr defaultSize="0" autoFill="0" autoLine="0" autoPict="0" macro="[0]!Protect_InitialsAC1">
            <anchor moveWithCells="1" sizeWithCells="1">
              <from>
                <xdr:col>28</xdr:col>
                <xdr:colOff>0</xdr:colOff>
                <xdr:row>25</xdr:row>
                <xdr:rowOff>0</xdr:rowOff>
              </from>
              <to>
                <xdr:col>29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129" name="Label 130">
          <controlPr defaultSize="0" autoFill="0" autoLine="0" autoPict="0" macro="[0]!Protect_InitialsAD1">
            <anchor moveWithCells="1" sizeWithCells="1">
              <from>
                <xdr:col>29</xdr:col>
                <xdr:colOff>0</xdr:colOff>
                <xdr:row>25</xdr:row>
                <xdr:rowOff>0</xdr:rowOff>
              </from>
              <to>
                <xdr:col>30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130" name="Label 132">
          <controlPr defaultSize="0" autoFill="0" autoLine="0" autoPict="0" macro="[0]!Protect_InitialsAE1">
            <anchor moveWithCells="1" sizeWithCells="1">
              <from>
                <xdr:col>30</xdr:col>
                <xdr:colOff>0</xdr:colOff>
                <xdr:row>25</xdr:row>
                <xdr:rowOff>0</xdr:rowOff>
              </from>
              <to>
                <xdr:col>31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2" r:id="rId131" name="Label 134">
          <controlPr defaultSize="0" autoFill="0" autoLine="0" autoPict="0" macro="[0]!Protect_InitialsAF1">
            <anchor moveWithCells="1" sizeWithCells="1">
              <from>
                <xdr:col>31</xdr:col>
                <xdr:colOff>0</xdr:colOff>
                <xdr:row>25</xdr:row>
                <xdr:rowOff>0</xdr:rowOff>
              </from>
              <to>
                <xdr:col>32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132" name="Label 136">
          <controlPr defaultSize="0" autoFill="0" autoLine="0" autoPict="0" macro="[0]!Protect_InitialsB2">
            <anchor moveWithCells="1">
              <from>
                <xdr:col>1</xdr:col>
                <xdr:colOff>9525</xdr:colOff>
                <xdr:row>26</xdr:row>
                <xdr:rowOff>0</xdr:rowOff>
              </from>
              <to>
                <xdr:col>2</xdr:col>
                <xdr:colOff>9525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133" name="Label 137">
          <controlPr defaultSize="0" autoFill="0" autoLine="0" autoPict="0" macro="[0]!Protect_InitialsE2">
            <anchor moveWithCells="1" siz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134" name="Label 138">
          <controlPr defaultSize="0" autoFill="0" autoLine="0" autoPict="0" macro="[0]!Protect_InitialsF2">
            <anchor moveWithCells="1" siz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7" r:id="rId135" name="Label 139">
          <controlPr defaultSize="0" autoFill="0" autoLine="0" autoPict="0" macro="[0]!Protect_InitialsH2">
            <anchor moveWithCells="1" sizeWithCells="1"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136" name="Label 140">
          <controlPr defaultSize="0" autoFill="0" autoLine="0" autoPict="0" macro="[0]!Protect_InitialsI2">
            <anchor moveWithCells="1" siz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2" r:id="rId137" name="Label 144">
          <controlPr defaultSize="0" autoFill="0" autoLine="0" autoPict="0" macro="[0]!Protect_InitialsZ2">
            <anchor moveWithCells="1" siz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r:id="rId138" name="Label 146">
          <controlPr defaultSize="0" autoFill="0" autoLine="0" autoPict="0" macro="[0]!Protect_InitialsAA2">
            <anchor moveWithCells="1" sizeWithCells="1">
              <from>
                <xdr:col>26</xdr:col>
                <xdr:colOff>0</xdr:colOff>
                <xdr:row>26</xdr:row>
                <xdr:rowOff>0</xdr:rowOff>
              </from>
              <to>
                <xdr:col>27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5" r:id="rId139" name="Label 147">
          <controlPr defaultSize="0" autoFill="0" autoLine="0" autoPict="0" macro="[0]!Protect_InitialsAB2">
            <anchor moveWithCells="1" sizeWithCells="1">
              <from>
                <xdr:col>27</xdr:col>
                <xdr:colOff>0</xdr:colOff>
                <xdr:row>26</xdr:row>
                <xdr:rowOff>0</xdr:rowOff>
              </from>
              <to>
                <xdr:col>28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6" r:id="rId140" name="Label 148">
          <controlPr defaultSize="0" autoFill="0" autoLine="0" autoPict="0" macro="[0]!Protect_InitialsAC2">
            <anchor moveWithCells="1" sizeWithCells="1">
              <from>
                <xdr:col>28</xdr:col>
                <xdr:colOff>0</xdr:colOff>
                <xdr:row>26</xdr:row>
                <xdr:rowOff>0</xdr:rowOff>
              </from>
              <to>
                <xdr:col>29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7" r:id="rId141" name="Label 149">
          <controlPr defaultSize="0" autoFill="0" autoLine="0" autoPict="0" macro="[0]!Protect_InitialsAD2">
            <anchor moveWithCells="1" sizeWithCells="1">
              <from>
                <xdr:col>29</xdr:col>
                <xdr:colOff>0</xdr:colOff>
                <xdr:row>26</xdr:row>
                <xdr:rowOff>0</xdr:rowOff>
              </from>
              <to>
                <xdr:col>30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8" r:id="rId142" name="Label 150">
          <controlPr defaultSize="0" autoFill="0" autoLine="0" autoPict="0" macro="[0]!Protect_InitialsAE2">
            <anchor moveWithCells="1" sizeWithCells="1">
              <from>
                <xdr:col>30</xdr:col>
                <xdr:colOff>0</xdr:colOff>
                <xdr:row>26</xdr:row>
                <xdr:rowOff>0</xdr:rowOff>
              </from>
              <to>
                <xdr:col>31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9" r:id="rId143" name="Label 151">
          <controlPr defaultSize="0" autoFill="0" autoLine="0" autoPict="0" macro="[0]!Protect_InitialsAF2">
            <anchor moveWithCells="1" sizeWithCells="1">
              <from>
                <xdr:col>31</xdr:col>
                <xdr:colOff>0</xdr:colOff>
                <xdr:row>26</xdr:row>
                <xdr:rowOff>0</xdr:rowOff>
              </from>
              <to>
                <xdr:col>32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3" r:id="rId144" name="Label 155">
          <controlPr defaultSize="0" autoFill="0" autoLine="0" autoPict="0" macro="[0]!Protect_InitialsX2">
            <anchor moveWithCells="1" sizeWithCells="1">
              <from>
                <xdr:col>23</xdr:col>
                <xdr:colOff>0</xdr:colOff>
                <xdr:row>26</xdr:row>
                <xdr:rowOff>0</xdr:rowOff>
              </from>
              <to>
                <xdr:col>24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4" r:id="rId145" name="Label 156">
          <controlPr defaultSize="0" autoFill="0" autoLine="0" autoPict="0" macro="[0]!Protect_InitialsY2">
            <anchor moveWithCells="1" sizeWithCells="1">
              <from>
                <xdr:col>24</xdr:col>
                <xdr:colOff>0</xdr:colOff>
                <xdr:row>26</xdr:row>
                <xdr:rowOff>0</xdr:rowOff>
              </from>
              <to>
                <xdr:col>25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7" r:id="rId146" name="Label 159">
          <controlPr defaultSize="0" autoFill="0" autoLine="0" autoPict="0" macro="[0]!Protect_InitialsAF3">
            <anchor moveWithCells="1" sizeWithCells="1">
              <from>
                <xdr:col>31</xdr:col>
                <xdr:colOff>0</xdr:colOff>
                <xdr:row>27</xdr:row>
                <xdr:rowOff>0</xdr:rowOff>
              </from>
              <to>
                <xdr:col>32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8" r:id="rId147" name="Label 160">
          <controlPr defaultSize="0" autoFill="0" autoLine="0" autoPict="0" macro="[0]!Protect_InitialsAE3">
            <anchor moveWithCells="1" sizeWithCells="1">
              <from>
                <xdr:col>30</xdr:col>
                <xdr:colOff>0</xdr:colOff>
                <xdr:row>27</xdr:row>
                <xdr:rowOff>0</xdr:rowOff>
              </from>
              <to>
                <xdr:col>31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9" r:id="rId148" name="Label 161">
          <controlPr defaultSize="0" autoFill="0" autoLine="0" autoPict="0" macro="[0]!Protect_InitialsAD3">
            <anchor moveWithCells="1" sizeWithCells="1">
              <from>
                <xdr:col>29</xdr:col>
                <xdr:colOff>0</xdr:colOff>
                <xdr:row>27</xdr:row>
                <xdr:rowOff>0</xdr:rowOff>
              </from>
              <to>
                <xdr:col>30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0" r:id="rId149" name="Label 162">
          <controlPr defaultSize="0" autoFill="0" autoLine="0" autoPict="0" macro="[0]!Protect_InitialsAC3">
            <anchor moveWithCells="1" sizeWithCells="1">
              <from>
                <xdr:col>28</xdr:col>
                <xdr:colOff>0</xdr:colOff>
                <xdr:row>27</xdr:row>
                <xdr:rowOff>0</xdr:rowOff>
              </from>
              <to>
                <xdr:col>29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1" r:id="rId150" name="Label 163">
          <controlPr defaultSize="0" autoFill="0" autoLine="0" autoPict="0" macro="[0]!Protect_InitialsAB3">
            <anchor moveWithCells="1" sizeWithCells="1">
              <from>
                <xdr:col>27</xdr:col>
                <xdr:colOff>0</xdr:colOff>
                <xdr:row>27</xdr:row>
                <xdr:rowOff>0</xdr:rowOff>
              </from>
              <to>
                <xdr:col>28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2" r:id="rId151" name="Label 164">
          <controlPr defaultSize="0" autoFill="0" autoLine="0" autoPict="0" macro="[0]!Protect_InitialsAA3">
            <anchor moveWithCells="1" sizeWithCells="1">
              <from>
                <xdr:col>26</xdr:col>
                <xdr:colOff>0</xdr:colOff>
                <xdr:row>27</xdr:row>
                <xdr:rowOff>0</xdr:rowOff>
              </from>
              <to>
                <xdr:col>27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3" r:id="rId152" name="Label 165">
          <controlPr defaultSize="0" autoFill="0" autoLine="0" autoPict="0" macro="[0]!Protect_InitialsZ3">
            <anchor moveWithCells="1" siz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4" r:id="rId153" name="Label 166">
          <controlPr defaultSize="0" autoFill="0" autoLine="0" autoPict="0" macro="[0]!Protect_InitialsY3">
            <anchor moveWithCells="1" sizeWithCells="1">
              <from>
                <xdr:col>24</xdr:col>
                <xdr:colOff>0</xdr:colOff>
                <xdr:row>27</xdr:row>
                <xdr:rowOff>0</xdr:rowOff>
              </from>
              <to>
                <xdr:col>25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5" r:id="rId154" name="Label 167">
          <controlPr defaultSize="0" autoFill="0" autoLine="0" autoPict="0" macro="[0]!Protect_InitialsX3">
            <anchor moveWithCells="1" sizeWithCells="1">
              <from>
                <xdr:col>23</xdr:col>
                <xdr:colOff>0</xdr:colOff>
                <xdr:row>27</xdr:row>
                <xdr:rowOff>0</xdr:rowOff>
              </from>
              <to>
                <xdr:col>24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7" r:id="rId155" name="Label 169">
          <controlPr defaultSize="0" autoFill="0" autoLine="0" autoPict="0" macro="[0]!Protect_InitialsW3">
            <anchor moveWithCells="1" sizeWithCells="1">
              <from>
                <xdr:col>22</xdr:col>
                <xdr:colOff>0</xdr:colOff>
                <xdr:row>27</xdr:row>
                <xdr:rowOff>0</xdr:rowOff>
              </from>
              <to>
                <xdr:col>23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8" r:id="rId156" name="Label 170">
          <controlPr defaultSize="0" autoFill="0" autoLine="0" autoPict="0" macro="[0]!Protect_InitialsV3">
            <anchor moveWithCells="1" sizeWithCells="1">
              <from>
                <xdr:col>21</xdr:col>
                <xdr:colOff>0</xdr:colOff>
                <xdr:row>27</xdr:row>
                <xdr:rowOff>0</xdr:rowOff>
              </from>
              <to>
                <xdr:col>22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9" r:id="rId157" name="Label 171">
          <controlPr defaultSize="0" autoFill="0" autoLine="0" autoPict="0" macro="[0]!Protect_InitialsU3">
            <anchor moveWithCells="1" sizeWithCells="1">
              <from>
                <xdr:col>20</xdr:col>
                <xdr:colOff>0</xdr:colOff>
                <xdr:row>27</xdr:row>
                <xdr:rowOff>0</xdr:rowOff>
              </from>
              <to>
                <xdr:col>21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0" r:id="rId158" name="Label 172">
          <controlPr defaultSize="0" autoFill="0" autoLine="0" autoPict="0" macro="[0]!Protect_InitialsT3">
            <anchor moveWithCells="1" sizeWithCells="1">
              <from>
                <xdr:col>19</xdr:col>
                <xdr:colOff>0</xdr:colOff>
                <xdr:row>27</xdr:row>
                <xdr:rowOff>0</xdr:rowOff>
              </from>
              <to>
                <xdr:col>20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1" r:id="rId159" name="Label 173">
          <controlPr defaultSize="0" autoFill="0" autoLine="0" autoPict="0" macro="[0]!Protect_InitialsS3">
            <anchor moveWithCells="1" siz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2" r:id="rId160" name="Label 174">
          <controlPr defaultSize="0" autoFill="0" autoLine="0" autoPict="0" macro="[0]!Protect_InitialsR3">
            <anchor moveWithCells="1" sizeWithCells="1">
              <from>
                <xdr:col>17</xdr:col>
                <xdr:colOff>0</xdr:colOff>
                <xdr:row>27</xdr:row>
                <xdr:rowOff>0</xdr:rowOff>
              </from>
              <to>
                <xdr:col>18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3" r:id="rId161" name="Label 175">
          <controlPr defaultSize="0" autoFill="0" autoLine="0" autoPict="0" macro="[0]!Protect_InitialsQ3">
            <anchor moveWithCells="1" sizeWithCells="1">
              <from>
                <xdr:col>16</xdr:col>
                <xdr:colOff>0</xdr:colOff>
                <xdr:row>27</xdr:row>
                <xdr:rowOff>0</xdr:rowOff>
              </from>
              <to>
                <xdr:col>17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4" r:id="rId162" name="Label 176">
          <controlPr defaultSize="0" autoFill="0" autoLine="0" autoPict="0" macro="[0]!Protect_InitialsP3">
            <anchor moveWithCells="1" sizeWithCells="1">
              <from>
                <xdr:col>15</xdr:col>
                <xdr:colOff>0</xdr:colOff>
                <xdr:row>27</xdr:row>
                <xdr:rowOff>0</xdr:rowOff>
              </from>
              <to>
                <xdr:col>16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5" r:id="rId163" name="Label 177">
          <controlPr defaultSize="0" autoFill="0" autoLine="0" autoPict="0" macro="[0]!Protect_InitialsO3">
            <anchor moveWithCells="1" sizeWithCells="1">
              <from>
                <xdr:col>14</xdr:col>
                <xdr:colOff>0</xdr:colOff>
                <xdr:row>27</xdr:row>
                <xdr:rowOff>0</xdr:rowOff>
              </from>
              <to>
                <xdr:col>15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7" r:id="rId164" name="Label 179">
          <controlPr defaultSize="0" autoFill="0" autoLine="0" autoPict="0" macro="[0]!Protect_InitialsN3">
            <anchor moveWithCells="1" sizeWithCells="1">
              <from>
                <xdr:col>13</xdr:col>
                <xdr:colOff>0</xdr:colOff>
                <xdr:row>27</xdr:row>
                <xdr:rowOff>0</xdr:rowOff>
              </from>
              <to>
                <xdr:col>14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8" r:id="rId165" name="Label 180">
          <controlPr defaultSize="0" autoFill="0" autoLine="0" autoPict="0" macro="[0]!Protect_InitialsM3">
            <anchor moveWithCells="1" siz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9" r:id="rId166" name="Label 181">
          <controlPr defaultSize="0" autoFill="0" autoLine="0" autoPict="0" macro="[0]!Protect_InitialsL3">
            <anchor moveWithCells="1" siz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0" r:id="rId167" name="Label 182">
          <controlPr defaultSize="0" autoFill="0" autoLine="0" autoPict="0" macro="[0]!Protect_InitialsK3">
            <anchor moveWithCells="1" siz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1" r:id="rId168" name="Label 183">
          <controlPr defaultSize="0" autoFill="0" autoLine="0" autoPict="0" macro="[0]!Protect_InitialsJ3">
            <anchor moveWithCells="1" sizeWithCells="1">
              <from>
                <xdr:col>9</xdr:col>
                <xdr:colOff>0</xdr:colOff>
                <xdr:row>27</xdr:row>
                <xdr:rowOff>0</xdr:rowOff>
              </from>
              <to>
                <xdr:col>10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2" r:id="rId169" name="Label 184">
          <controlPr defaultSize="0" autoFill="0" autoLine="0" autoPict="0" macro="[0]!Protect_InitialsI3">
            <anchor moveWithCells="1" siz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3" r:id="rId170" name="Label 185">
          <controlPr defaultSize="0" autoFill="0" autoLine="0" autoPict="0" macro="[0]!Protect_InitialsH3">
            <anchor moveWithCells="1" sizeWithCells="1">
              <from>
                <xdr:col>7</xdr:col>
                <xdr:colOff>0</xdr:colOff>
                <xdr:row>27</xdr:row>
                <xdr:rowOff>0</xdr:rowOff>
              </from>
              <to>
                <xdr:col>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4" r:id="rId171" name="Label 186">
          <controlPr defaultSize="0" autoFill="0" autoLine="0" autoPict="0" macro="[0]!Protect_InitialsG3">
            <anchor moveWithCells="1" sizeWithCells="1">
              <from>
                <xdr:col>6</xdr:col>
                <xdr:colOff>0</xdr:colOff>
                <xdr:row>27</xdr:row>
                <xdr:rowOff>0</xdr:rowOff>
              </from>
              <to>
                <xdr:col>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6" r:id="rId172" name="Label 188">
          <controlPr defaultSize="0" autoFill="0" autoLine="0" autoPict="0" macro="[0]!Protect_InitialsF3">
            <anchor moveWithCells="1" siz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7" r:id="rId173" name="Label 189">
          <controlPr defaultSize="0" autoFill="0" autoLine="0" autoPict="0" macro="[0]!Protect_InitialsE3">
            <anchor moveWithCells="1" siz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8" r:id="rId174" name="Label 190">
          <controlPr defaultSize="0" autoFill="0" autoLine="0" autoPict="0" macro="[0]!Protect_InitialsD3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9" r:id="rId175" name="Label 191">
          <controlPr defaultSize="0" autoFill="0" autoLine="0" autoPict="0" macro="[0]!Protect_InitialsC3">
            <anchor moveWithCells="1" sizeWithCells="1">
              <from>
                <xdr:col>2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0" r:id="rId176" name="Label 192">
          <controlPr defaultSize="0" autoFill="0" autoLine="0" autoPict="0" macro="[0]!Protect_InitialsB3">
            <anchor moveWithCells="1" siz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347</vt:i4>
      </vt:variant>
    </vt:vector>
  </HeadingPairs>
  <TitlesOfParts>
    <vt:vector size="349" baseType="lpstr">
      <vt:lpstr>Commands</vt:lpstr>
      <vt:lpstr>Sheet1</vt:lpstr>
      <vt:lpstr>Column2StartAA</vt:lpstr>
      <vt:lpstr>Column2StartAB</vt:lpstr>
      <vt:lpstr>Column2StartAC</vt:lpstr>
      <vt:lpstr>Column2StartAD</vt:lpstr>
      <vt:lpstr>Column2StartAE</vt:lpstr>
      <vt:lpstr>Column2StartAF</vt:lpstr>
      <vt:lpstr>Column2StartB</vt:lpstr>
      <vt:lpstr>Column2StartC</vt:lpstr>
      <vt:lpstr>Column2StartD</vt:lpstr>
      <vt:lpstr>Column2StartE</vt:lpstr>
      <vt:lpstr>Column2StartF</vt:lpstr>
      <vt:lpstr>Column2StartG</vt:lpstr>
      <vt:lpstr>Column2StartH</vt:lpstr>
      <vt:lpstr>Column2StartI</vt:lpstr>
      <vt:lpstr>Column2StartJ</vt:lpstr>
      <vt:lpstr>Column2StartK</vt:lpstr>
      <vt:lpstr>Column2StartL</vt:lpstr>
      <vt:lpstr>Column2StartM</vt:lpstr>
      <vt:lpstr>Column2StartN</vt:lpstr>
      <vt:lpstr>Column2StartO</vt:lpstr>
      <vt:lpstr>Column2StartP</vt:lpstr>
      <vt:lpstr>Column2StartQ</vt:lpstr>
      <vt:lpstr>Column2StartR</vt:lpstr>
      <vt:lpstr>Column2StartS</vt:lpstr>
      <vt:lpstr>Column2StartT</vt:lpstr>
      <vt:lpstr>Column2StartU</vt:lpstr>
      <vt:lpstr>Column2StartV</vt:lpstr>
      <vt:lpstr>Column2StartW</vt:lpstr>
      <vt:lpstr>Column2StartX</vt:lpstr>
      <vt:lpstr>Column2StartY</vt:lpstr>
      <vt:lpstr>Column2StartZ</vt:lpstr>
      <vt:lpstr>ColumnEndAA</vt:lpstr>
      <vt:lpstr>ColumnEndAB</vt:lpstr>
      <vt:lpstr>ColumnEndAC</vt:lpstr>
      <vt:lpstr>ColumnEndAD</vt:lpstr>
      <vt:lpstr>ColumnEndAE</vt:lpstr>
      <vt:lpstr>ColumnEndAF</vt:lpstr>
      <vt:lpstr>ColumnEndB</vt:lpstr>
      <vt:lpstr>ColumnEndC</vt:lpstr>
      <vt:lpstr>ColumnEndD</vt:lpstr>
      <vt:lpstr>ColumnEndE</vt:lpstr>
      <vt:lpstr>ColumnEndF</vt:lpstr>
      <vt:lpstr>ColumnEndG</vt:lpstr>
      <vt:lpstr>ColumnEndH</vt:lpstr>
      <vt:lpstr>ColumnEndI</vt:lpstr>
      <vt:lpstr>ColumnEndJ</vt:lpstr>
      <vt:lpstr>ColumnEndK</vt:lpstr>
      <vt:lpstr>ColumnEndL</vt:lpstr>
      <vt:lpstr>ColumnEndM</vt:lpstr>
      <vt:lpstr>ColumnEndN</vt:lpstr>
      <vt:lpstr>ColumnEndO</vt:lpstr>
      <vt:lpstr>ColumnEndP</vt:lpstr>
      <vt:lpstr>ColumnEndQ</vt:lpstr>
      <vt:lpstr>ColumnEndR</vt:lpstr>
      <vt:lpstr>ColumnEndS</vt:lpstr>
      <vt:lpstr>ColumnEndT</vt:lpstr>
      <vt:lpstr>ColumnEndU</vt:lpstr>
      <vt:lpstr>ColumnEndV</vt:lpstr>
      <vt:lpstr>ColumnEndW</vt:lpstr>
      <vt:lpstr>ColumnEndX</vt:lpstr>
      <vt:lpstr>ColumnEndY</vt:lpstr>
      <vt:lpstr>ColumnEndZ</vt:lpstr>
      <vt:lpstr>ColumnStartAA</vt:lpstr>
      <vt:lpstr>ColumnStartAB</vt:lpstr>
      <vt:lpstr>ColumnStartAC</vt:lpstr>
      <vt:lpstr>ColumnStartAD</vt:lpstr>
      <vt:lpstr>ColumnStartAE</vt:lpstr>
      <vt:lpstr>ColumnStartAF</vt:lpstr>
      <vt:lpstr>ColumnStartB</vt:lpstr>
      <vt:lpstr>ColumnStartC</vt:lpstr>
      <vt:lpstr>ColumnStartD</vt:lpstr>
      <vt:lpstr>ColumnStartE</vt:lpstr>
      <vt:lpstr>ColumnStartF</vt:lpstr>
      <vt:lpstr>ColumnStartG</vt:lpstr>
      <vt:lpstr>ColumnStartH</vt:lpstr>
      <vt:lpstr>ColumnStartI</vt:lpstr>
      <vt:lpstr>ColumnStartJ</vt:lpstr>
      <vt:lpstr>ColumnStartK</vt:lpstr>
      <vt:lpstr>ColumnStartL</vt:lpstr>
      <vt:lpstr>ColumnStartM</vt:lpstr>
      <vt:lpstr>ColumnStartN</vt:lpstr>
      <vt:lpstr>ColumnStartO</vt:lpstr>
      <vt:lpstr>ColumnStartP</vt:lpstr>
      <vt:lpstr>ColumnStartQ</vt:lpstr>
      <vt:lpstr>ColumnStartR</vt:lpstr>
      <vt:lpstr>ColumnStartS</vt:lpstr>
      <vt:lpstr>ColumnStartT</vt:lpstr>
      <vt:lpstr>ColumnStartU</vt:lpstr>
      <vt:lpstr>ColumnStartV</vt:lpstr>
      <vt:lpstr>ColumnStartW</vt:lpstr>
      <vt:lpstr>ColumnStartX</vt:lpstr>
      <vt:lpstr>ColumnStartY</vt:lpstr>
      <vt:lpstr>ColumnStartZ</vt:lpstr>
      <vt:lpstr>CurrentMonthVisits</vt:lpstr>
      <vt:lpstr>Initials1</vt:lpstr>
      <vt:lpstr>Initials10</vt:lpstr>
      <vt:lpstr>Initials11</vt:lpstr>
      <vt:lpstr>Initials12</vt:lpstr>
      <vt:lpstr>Initials13</vt:lpstr>
      <vt:lpstr>Initials14</vt:lpstr>
      <vt:lpstr>Initials15</vt:lpstr>
      <vt:lpstr>Initials16</vt:lpstr>
      <vt:lpstr>Initials2</vt:lpstr>
      <vt:lpstr>Initials3</vt:lpstr>
      <vt:lpstr>Initials4</vt:lpstr>
      <vt:lpstr>Initials5</vt:lpstr>
      <vt:lpstr>Initials6</vt:lpstr>
      <vt:lpstr>Initials7</vt:lpstr>
      <vt:lpstr>Initials8</vt:lpstr>
      <vt:lpstr>Initials9</vt:lpstr>
      <vt:lpstr>InitialsAA1</vt:lpstr>
      <vt:lpstr>InitialsAA2</vt:lpstr>
      <vt:lpstr>InitialsAA3</vt:lpstr>
      <vt:lpstr>InitialsAB1</vt:lpstr>
      <vt:lpstr>InitialsAB2</vt:lpstr>
      <vt:lpstr>InitialsAB3</vt:lpstr>
      <vt:lpstr>InitialsAC1</vt:lpstr>
      <vt:lpstr>InitialsAC2</vt:lpstr>
      <vt:lpstr>InitialsAC3</vt:lpstr>
      <vt:lpstr>InitialsAD1</vt:lpstr>
      <vt:lpstr>InitialsAD2</vt:lpstr>
      <vt:lpstr>InitialsAD3</vt:lpstr>
      <vt:lpstr>InitialsAE1</vt:lpstr>
      <vt:lpstr>InitialsAE2</vt:lpstr>
      <vt:lpstr>InitialsAE3</vt:lpstr>
      <vt:lpstr>InitialsAF1</vt:lpstr>
      <vt:lpstr>InitialsAF2</vt:lpstr>
      <vt:lpstr>InitialsAF3</vt:lpstr>
      <vt:lpstr>InitialsB1</vt:lpstr>
      <vt:lpstr>InitialsB2</vt:lpstr>
      <vt:lpstr>InitialsB3</vt:lpstr>
      <vt:lpstr>InitialsC1</vt:lpstr>
      <vt:lpstr>InitialsC2</vt:lpstr>
      <vt:lpstr>InitialsC3</vt:lpstr>
      <vt:lpstr>InitialsCounter1</vt:lpstr>
      <vt:lpstr>InitialsCounter10</vt:lpstr>
      <vt:lpstr>InitialsCounter11</vt:lpstr>
      <vt:lpstr>InitialsCounter12</vt:lpstr>
      <vt:lpstr>InitialsCounter13</vt:lpstr>
      <vt:lpstr>InitialsCounter14</vt:lpstr>
      <vt:lpstr>InitialsCounter15</vt:lpstr>
      <vt:lpstr>InitialsCounter16</vt:lpstr>
      <vt:lpstr>InitialsCounter2</vt:lpstr>
      <vt:lpstr>InitialsCounter3</vt:lpstr>
      <vt:lpstr>InitialsCounter4</vt:lpstr>
      <vt:lpstr>InitialsCounter5</vt:lpstr>
      <vt:lpstr>InitialsCounter6</vt:lpstr>
      <vt:lpstr>InitialsCounter7</vt:lpstr>
      <vt:lpstr>InitialsCounter8</vt:lpstr>
      <vt:lpstr>InitialsCounter9</vt:lpstr>
      <vt:lpstr>InitialsD1</vt:lpstr>
      <vt:lpstr>InitialsD2</vt:lpstr>
      <vt:lpstr>InitialsD3</vt:lpstr>
      <vt:lpstr>InitialsE1</vt:lpstr>
      <vt:lpstr>InitialsE2</vt:lpstr>
      <vt:lpstr>InitialsE3</vt:lpstr>
      <vt:lpstr>InitialsF1</vt:lpstr>
      <vt:lpstr>InitialsF2</vt:lpstr>
      <vt:lpstr>InitialsF3</vt:lpstr>
      <vt:lpstr>InitialsG1</vt:lpstr>
      <vt:lpstr>InitialsG2</vt:lpstr>
      <vt:lpstr>InitialsG3</vt:lpstr>
      <vt:lpstr>InitialsH1</vt:lpstr>
      <vt:lpstr>InitialsH2</vt:lpstr>
      <vt:lpstr>InitialsH3</vt:lpstr>
      <vt:lpstr>InitialsI1</vt:lpstr>
      <vt:lpstr>InitialsI2</vt:lpstr>
      <vt:lpstr>InitialsI3</vt:lpstr>
      <vt:lpstr>InitialsJ1</vt:lpstr>
      <vt:lpstr>InitialsJ2</vt:lpstr>
      <vt:lpstr>InitialsJ3</vt:lpstr>
      <vt:lpstr>InitialsK1</vt:lpstr>
      <vt:lpstr>InitialsK2</vt:lpstr>
      <vt:lpstr>InitialsK3</vt:lpstr>
      <vt:lpstr>InitialsL1</vt:lpstr>
      <vt:lpstr>InitialsL2</vt:lpstr>
      <vt:lpstr>InitialsL3</vt:lpstr>
      <vt:lpstr>InitialsM1</vt:lpstr>
      <vt:lpstr>InitialsM2</vt:lpstr>
      <vt:lpstr>InitialsM3</vt:lpstr>
      <vt:lpstr>InitialsN1</vt:lpstr>
      <vt:lpstr>InitialsN2</vt:lpstr>
      <vt:lpstr>InitialsN3</vt:lpstr>
      <vt:lpstr>InitialsO1</vt:lpstr>
      <vt:lpstr>InitialsO2</vt:lpstr>
      <vt:lpstr>InitialsO3</vt:lpstr>
      <vt:lpstr>InitialsP1</vt:lpstr>
      <vt:lpstr>InitialsP2</vt:lpstr>
      <vt:lpstr>InitialsP3</vt:lpstr>
      <vt:lpstr>InitialsQ1</vt:lpstr>
      <vt:lpstr>InitialsQ2</vt:lpstr>
      <vt:lpstr>InitialsQ3</vt:lpstr>
      <vt:lpstr>InitialsR1</vt:lpstr>
      <vt:lpstr>InitialsR2</vt:lpstr>
      <vt:lpstr>InitialsR3</vt:lpstr>
      <vt:lpstr>InitialsS1</vt:lpstr>
      <vt:lpstr>InitialsS2</vt:lpstr>
      <vt:lpstr>InitialsS3</vt:lpstr>
      <vt:lpstr>InitialsT1</vt:lpstr>
      <vt:lpstr>InitialsT2</vt:lpstr>
      <vt:lpstr>InitialsT3</vt:lpstr>
      <vt:lpstr>InitialsU1</vt:lpstr>
      <vt:lpstr>InitialsU2</vt:lpstr>
      <vt:lpstr>InitialsU3</vt:lpstr>
      <vt:lpstr>InitialsV1</vt:lpstr>
      <vt:lpstr>InitialsV2</vt:lpstr>
      <vt:lpstr>InitialsV3</vt:lpstr>
      <vt:lpstr>InitialsW1</vt:lpstr>
      <vt:lpstr>InitialsW2</vt:lpstr>
      <vt:lpstr>InitialsW3</vt:lpstr>
      <vt:lpstr>InitialsX1</vt:lpstr>
      <vt:lpstr>InitialsX2</vt:lpstr>
      <vt:lpstr>InitialsX3</vt:lpstr>
      <vt:lpstr>InitialsY1</vt:lpstr>
      <vt:lpstr>InitialsY2</vt:lpstr>
      <vt:lpstr>InitialsY3</vt:lpstr>
      <vt:lpstr>InitialsZ1</vt:lpstr>
      <vt:lpstr>InitialsZ2</vt:lpstr>
      <vt:lpstr>InitialsZ3</vt:lpstr>
      <vt:lpstr>MergeAreaTitles</vt:lpstr>
      <vt:lpstr>PreviousMonthVisits</vt:lpstr>
      <vt:lpstr>TherapistName1</vt:lpstr>
      <vt:lpstr>TherapistName10</vt:lpstr>
      <vt:lpstr>TherapistName11</vt:lpstr>
      <vt:lpstr>TherapistName12</vt:lpstr>
      <vt:lpstr>TherapistName13</vt:lpstr>
      <vt:lpstr>TherapistName14</vt:lpstr>
      <vt:lpstr>TherapistName15</vt:lpstr>
      <vt:lpstr>TherapistName16</vt:lpstr>
      <vt:lpstr>TherapistName2</vt:lpstr>
      <vt:lpstr>TherapistName3</vt:lpstr>
      <vt:lpstr>TherapistName4</vt:lpstr>
      <vt:lpstr>TherapistName5</vt:lpstr>
      <vt:lpstr>TherapistName6</vt:lpstr>
      <vt:lpstr>TherapistName7</vt:lpstr>
      <vt:lpstr>TherapistName8</vt:lpstr>
      <vt:lpstr>TherapistName9</vt:lpstr>
      <vt:lpstr>Title1</vt:lpstr>
      <vt:lpstr>Title10</vt:lpstr>
      <vt:lpstr>Title11</vt:lpstr>
      <vt:lpstr>Title12</vt:lpstr>
      <vt:lpstr>Title13</vt:lpstr>
      <vt:lpstr>Title14</vt:lpstr>
      <vt:lpstr>Title15</vt:lpstr>
      <vt:lpstr>Title16</vt:lpstr>
      <vt:lpstr>Title2</vt:lpstr>
      <vt:lpstr>Title3</vt:lpstr>
      <vt:lpstr>Title4</vt:lpstr>
      <vt:lpstr>Title5</vt:lpstr>
      <vt:lpstr>Title6</vt:lpstr>
      <vt:lpstr>Title7</vt:lpstr>
      <vt:lpstr>Title8</vt:lpstr>
      <vt:lpstr>Title9</vt:lpstr>
      <vt:lpstr>TotalMinutes</vt:lpstr>
      <vt:lpstr>TotalTreatmentMinutesAA</vt:lpstr>
      <vt:lpstr>TotalTreatmentMinutesAB</vt:lpstr>
      <vt:lpstr>TotalTreatmentMinutesAC</vt:lpstr>
      <vt:lpstr>TotalTreatmentMinutesAD</vt:lpstr>
      <vt:lpstr>TotalTreatmentMinutesAE</vt:lpstr>
      <vt:lpstr>TotalTreatmentMinutesAF</vt:lpstr>
      <vt:lpstr>TotalTreatmentMinutesB</vt:lpstr>
      <vt:lpstr>TotalTreatmentMinutesC</vt:lpstr>
      <vt:lpstr>TotalTreatmentMinutesD</vt:lpstr>
      <vt:lpstr>TotalTreatmentMinutesE</vt:lpstr>
      <vt:lpstr>TotalTreatmentMinutesF</vt:lpstr>
      <vt:lpstr>TotalTreatmentMinutesG</vt:lpstr>
      <vt:lpstr>TotalTreatmentMinutesH</vt:lpstr>
      <vt:lpstr>TotalTreatmentMinutesI</vt:lpstr>
      <vt:lpstr>TotalTreatmentMinutesJ</vt:lpstr>
      <vt:lpstr>TotalTreatmentMinutesK</vt:lpstr>
      <vt:lpstr>TotalTreatmentMinutesL</vt:lpstr>
      <vt:lpstr>TotalTreatmentMinutesM</vt:lpstr>
      <vt:lpstr>TotalTreatmentMinutesN</vt:lpstr>
      <vt:lpstr>TotalTreatmentMinutesO</vt:lpstr>
      <vt:lpstr>TotalTreatmentMinutesP</vt:lpstr>
      <vt:lpstr>TotalTreatmentMinutesQ</vt:lpstr>
      <vt:lpstr>TotalTreatmentMinutesR</vt:lpstr>
      <vt:lpstr>TotalTreatmentMinutesS</vt:lpstr>
      <vt:lpstr>TotalTreatmentMinutesT</vt:lpstr>
      <vt:lpstr>TotalTreatmentMinutesU</vt:lpstr>
      <vt:lpstr>TotalTreatmentMinutesV</vt:lpstr>
      <vt:lpstr>TotalTreatmentMinutesW</vt:lpstr>
      <vt:lpstr>TotalTreatmentMinutesX</vt:lpstr>
      <vt:lpstr>TotalTreatmentMinutesY</vt:lpstr>
      <vt:lpstr>TotalTreatmentMinutesZ</vt:lpstr>
      <vt:lpstr>TreatmentFrequency1</vt:lpstr>
      <vt:lpstr>TreatmentFrequency10</vt:lpstr>
      <vt:lpstr>TreatmentFrequency11</vt:lpstr>
      <vt:lpstr>TreatmentFrequency12</vt:lpstr>
      <vt:lpstr>TreatmentFrequency13</vt:lpstr>
      <vt:lpstr>TreatmentFrequency14</vt:lpstr>
      <vt:lpstr>TreatmentFrequency15</vt:lpstr>
      <vt:lpstr>TreatmentFrequency16</vt:lpstr>
      <vt:lpstr>TreatmentFrequency17</vt:lpstr>
      <vt:lpstr>TreatmentFrequency18</vt:lpstr>
      <vt:lpstr>TreatmentFrequency19</vt:lpstr>
      <vt:lpstr>TreatmentFrequency2</vt:lpstr>
      <vt:lpstr>TreatmentFrequency20</vt:lpstr>
      <vt:lpstr>TreatmentFrequency21</vt:lpstr>
      <vt:lpstr>TreatmentFrequency22</vt:lpstr>
      <vt:lpstr>TreatmentFrequency23</vt:lpstr>
      <vt:lpstr>TreatmentFrequency24</vt:lpstr>
      <vt:lpstr>TreatmentFrequency25</vt:lpstr>
      <vt:lpstr>TreatmentFrequency26</vt:lpstr>
      <vt:lpstr>TreatmentFrequency27</vt:lpstr>
      <vt:lpstr>TreatmentFrequency28</vt:lpstr>
      <vt:lpstr>TreatmentFrequency29</vt:lpstr>
      <vt:lpstr>TreatmentFrequency3</vt:lpstr>
      <vt:lpstr>TreatmentFrequency30</vt:lpstr>
      <vt:lpstr>TreatmentFrequency31</vt:lpstr>
      <vt:lpstr>TreatmentFrequency4</vt:lpstr>
      <vt:lpstr>TreatmentFrequency5</vt:lpstr>
      <vt:lpstr>TreatmentFrequency6</vt:lpstr>
      <vt:lpstr>TreatmentFrequency7</vt:lpstr>
      <vt:lpstr>TreatmentFrequency8</vt:lpstr>
      <vt:lpstr>TreatmentFrequency9</vt:lpstr>
      <vt:lpstr>TreatmentMinutesAA</vt:lpstr>
      <vt:lpstr>TreatmentMinutesAB</vt:lpstr>
      <vt:lpstr>TreatmentMinutesAC</vt:lpstr>
      <vt:lpstr>TreatmentMinutesAD</vt:lpstr>
      <vt:lpstr>TreatmentMinutesAE</vt:lpstr>
      <vt:lpstr>TreatmentMinutesAF</vt:lpstr>
      <vt:lpstr>TreatmentMinutesB</vt:lpstr>
      <vt:lpstr>TreatmentMinutesC</vt:lpstr>
      <vt:lpstr>TreatmentMinutesD</vt:lpstr>
      <vt:lpstr>TreatmentMinutesE</vt:lpstr>
      <vt:lpstr>TreatmentMinutesF</vt:lpstr>
      <vt:lpstr>TreatmentMinutesG</vt:lpstr>
      <vt:lpstr>TreatmentMinutesH</vt:lpstr>
      <vt:lpstr>TreatmentMinutesI</vt:lpstr>
      <vt:lpstr>TreatmentMinutesJ</vt:lpstr>
      <vt:lpstr>TreatmentMinutesK</vt:lpstr>
      <vt:lpstr>TreatmentMinutesL</vt:lpstr>
      <vt:lpstr>TreatmentMinutesM</vt:lpstr>
      <vt:lpstr>TreatmentMinutesN</vt:lpstr>
      <vt:lpstr>TreatmentMinutesO</vt:lpstr>
      <vt:lpstr>TreatmentMinutesP</vt:lpstr>
      <vt:lpstr>TreatmentMinutesQ</vt:lpstr>
      <vt:lpstr>TreatmentMinutesR</vt:lpstr>
      <vt:lpstr>TreatmentMinutesS</vt:lpstr>
      <vt:lpstr>TreatmentMinutesT</vt:lpstr>
      <vt:lpstr>TreatmentMinutesU</vt:lpstr>
      <vt:lpstr>TreatmentMinutesV</vt:lpstr>
      <vt:lpstr>TreatmentMinutesW</vt:lpstr>
      <vt:lpstr>TreatmentMinutesX</vt:lpstr>
      <vt:lpstr>TreatmentMinutesY</vt:lpstr>
      <vt:lpstr>TreatmentMinutesZ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Blaine, John</cp:lastModifiedBy>
  <dcterms:created xsi:type="dcterms:W3CDTF">2006-09-16T00:00:00Z</dcterms:created>
  <dcterms:modified xsi:type="dcterms:W3CDTF">2017-04-17T21:26:02Z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